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ohannesleroux/Desktop/Coaching Clients /Dona Distillery /09 Fuego X Johannes/"/>
    </mc:Choice>
  </mc:AlternateContent>
  <xr:revisionPtr revIDLastSave="0" documentId="13_ncr:1_{7FF9DADD-90EC-234E-9EF0-EEEF38170582}" xr6:coauthVersionLast="47" xr6:coauthVersionMax="47" xr10:uidLastSave="{00000000-0000-0000-0000-000000000000}"/>
  <bookViews>
    <workbookView xWindow="2160" yWindow="1460" windowWidth="21580" windowHeight="16040" tabRatio="500" xr2:uid="{00000000-000D-0000-FFFF-FFFF00000000}"/>
  </bookViews>
  <sheets>
    <sheet name="Deliverables" sheetId="1" r:id="rId1"/>
    <sheet name="Resources &amp; Skill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" i="1" l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Johannes Le Roux</author>
  </authors>
  <commentList>
    <comment ref="J5" authorId="0" shapeId="0" xr:uid="{D4B03A38-9E5C-5749-882E-877901EA5340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LIT Africa — SA influencer / creator marketing platform. Audience research + amplification for the Sept campaign.</t>
        </r>
      </text>
    </comment>
    <comment ref="K5" authorId="0" shapeId="0" xr:uid="{A085B1B2-25B4-844B-B9ED-2C4371F1C04D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 scope of engagement — no external spend.</t>
        </r>
      </text>
    </comment>
    <comment ref="K6" authorId="0" shapeId="0" xr:uid="{DA895F27-35F3-7147-90BA-775590B39156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Light copywriter pass on the messaging house (est.).</t>
        </r>
      </text>
    </comment>
    <comment ref="J7" authorId="0" shapeId="0" xr:uid="{F98CD63D-009B-B44D-B650-CF385F76DDD0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Field Bar mini bars — cans fit perfectly. Plan A partner for the cooler-box campaign.</t>
        </r>
      </text>
    </comment>
    <comment ref="K7" authorId="0" shapeId="0" xr:uid="{CE5029A7-3BDF-B34E-8287-73A6B54A87CC}">
      <text>
        <r>
          <rPr>
            <b/>
            <sz val="10"/>
            <color rgb="FF000000"/>
            <rFont val="Tahoma"/>
            <family val="2"/>
          </rPr>
          <t>Updated: 30 mini Field Bars × R1,799 = R53,970 + 20 Uber cooler-box drops (~R30k) + photographer (~R20k) + tastings &amp; in-store activation (~R20k) + design assets (~R5k). ~R130k total. Negotiate Field Bar partnership rate — likely better than retail.</t>
        </r>
      </text>
    </comment>
    <comment ref="K8" authorId="0" shapeId="0" xr:uid="{07EC547B-6FA5-8C48-8A2E-F7BB958456A8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Light dashboard build; sales-out feed from buyer is free.</t>
        </r>
      </text>
    </comment>
    <comment ref="J9" authorId="0" shapeId="0" xr:uid="{781C9F9B-0835-D043-A03A-6B49E8A26C2D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Circle.so — community platform option for hosting the 1,000 Top Fans community.</t>
        </r>
      </text>
    </comment>
    <comment ref="K9" authorId="0" shapeId="0" xr:uid="{79CA7007-41F6-3645-BB98-A4126C9BBEE9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Circle.so subscription (~R1,800/mo × 12) + LIT Africa setup + light tooling. Est.</t>
        </r>
      </text>
    </comment>
    <comment ref="K10" authorId="0" shapeId="0" xr:uid="{CE2D86AF-AA20-0F44-9D2B-D7018D264342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Designer polish on HTML deck + legal review of supply agreement / SBB spin-out. Legal TBC with Danielle's existing lawyer.</t>
        </r>
      </text>
    </comment>
    <comment ref="K11" authorId="0" shapeId="0" xr:uid="{11C208C2-0D2E-1A47-BB65-EF553216150B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 scope — Johannes template, no external spend.</t>
        </r>
      </text>
    </comment>
    <comment ref="K12" authorId="0" shapeId="0" xr:uid="{D10F4F01-E9D7-984D-9E63-F0865CAB93FB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Retainer covers sessions + WhatsApp.</t>
        </r>
      </text>
    </comment>
  </commentList>
</comments>
</file>

<file path=xl/sharedStrings.xml><?xml version="1.0" encoding="utf-8"?>
<sst xmlns="http://schemas.openxmlformats.org/spreadsheetml/2006/main" count="150" uniqueCount="115">
  <si>
    <t>Doña Fuego × Johannes — Deliverables Tracker</t>
  </si>
  <si>
    <t>#</t>
  </si>
  <si>
    <t>Deliverable</t>
  </si>
  <si>
    <t>Description / Scope</t>
  </si>
  <si>
    <t>Owner</t>
  </si>
  <si>
    <t>Support / Resources</t>
  </si>
  <si>
    <t>Target Date</t>
  </si>
  <si>
    <t>Status</t>
  </si>
  <si>
    <t>% Done</t>
  </si>
  <si>
    <t>Notes</t>
  </si>
  <si>
    <t>Johannes + Danielle</t>
  </si>
  <si>
    <t>In Progress</t>
  </si>
  <si>
    <t>Johannes</t>
  </si>
  <si>
    <t>Not Started</t>
  </si>
  <si>
    <t>—</t>
  </si>
  <si>
    <t>Ongoing</t>
  </si>
  <si>
    <t>Overall</t>
  </si>
  <si>
    <t>Resource &amp; Skill Requirements</t>
  </si>
  <si>
    <t>Who/what is needed to deliver, and where it comes from</t>
  </si>
  <si>
    <t>Resource / Skill</t>
  </si>
  <si>
    <t>Type</t>
  </si>
  <si>
    <t>Needed For (Deliverable #)</t>
  </si>
  <si>
    <t>Source</t>
  </si>
  <si>
    <t>Est. Cost</t>
  </si>
  <si>
    <t>Marketing strategy &amp; positioning</t>
  </si>
  <si>
    <t>Skill</t>
  </si>
  <si>
    <t>1, 2, 3, 5</t>
  </si>
  <si>
    <t>Johannes (in scope)</t>
  </si>
  <si>
    <t>Secured</t>
  </si>
  <si>
    <t>In retainer</t>
  </si>
  <si>
    <t>Core of the engagement.</t>
  </si>
  <si>
    <t>Founder time &amp; customer insight</t>
  </si>
  <si>
    <t>Time</t>
  </si>
  <si>
    <t>1, 2, 3, 7</t>
  </si>
  <si>
    <t>Danielle</t>
  </si>
  <si>
    <t>~Weekly sessions + homework (personas, partner intros).</t>
  </si>
  <si>
    <t>Partner</t>
  </si>
  <si>
    <t>Not Secured</t>
  </si>
  <si>
    <t>Graphic designer (campaign assets)</t>
  </si>
  <si>
    <t>Specialist</t>
  </si>
  <si>
    <t>3, 6</t>
  </si>
  <si>
    <t>Existing label designer or J network</t>
  </si>
  <si>
    <t>TBC</t>
  </si>
  <si>
    <t>Label design already strong; reuse same designer if possible.</t>
  </si>
  <si>
    <t>6</t>
  </si>
  <si>
    <t>Deck design</t>
  </si>
  <si>
    <t>Designer (J network)</t>
  </si>
  <si>
    <t>Polish only — content from J + Danielle.</t>
  </si>
  <si>
    <t>Legal (entity spin-out)</t>
  </si>
  <si>
    <t>6, 7</t>
  </si>
  <si>
    <t>Danielle's existing legal</t>
  </si>
  <si>
    <t>Standard model: build in distillery → separate entity → sell equity.</t>
  </si>
  <si>
    <t>Checkers buyer relationship</t>
  </si>
  <si>
    <t>Relationship</t>
  </si>
  <si>
    <t>3, 5</t>
  </si>
  <si>
    <t>Danielle (existing, strong)</t>
  </si>
  <si>
    <t>Buyer championed product through tasting panels.</t>
  </si>
  <si>
    <t>Industry / distributor network</t>
  </si>
  <si>
    <t>7</t>
  </si>
  <si>
    <t>For strategic partner shortlist.</t>
  </si>
  <si>
    <t>Engagement: 4 × 1hr sessions/month (Jun–Sep 2026) + WhatsApp working group · Product: Doña Fuego Tequila RTD — 4 SKUs (Margarita, Spicy Margarita, Paloma, Non-alc Margarita), 250ml / 7% ABV, R169 per 4-pack, 6 × 4-packs per case · First Checkers PO R2.7m (~9,000L / 1,500 cases / 36,000 units per SKU; 3 cases per store) · 12-mo exclusivity with Checkers + Checkers Liquor + 60/60 · Launch July 2026, consumer campaign live September 2026 · Updated 11 Jun 2026</t>
  </si>
  <si>
    <t>Target audience &amp; cooler-box occasion</t>
  </si>
  <si>
    <t>Danielle (customer insight); ChatGPT/Claude for audience research</t>
  </si>
  <si>
    <t>Done</t>
  </si>
  <si>
    <t>Confirmed in 11 Jun marketing session — cooler-box framing landed. This now anchors all positioning and campaign work.</t>
  </si>
  <si>
    <t>Brand positioning &amp; "Anti-Wine Club" messaging</t>
  </si>
  <si>
    <t>Lock messaging house around "the drink you bring when everyone else brings wine" / Anti-Wine Club. Key angles: real tequila (no BS, founder-distiller story), premium RTD at R169/4-pack vs Brutal Fruit/Bernini, 4-SKU range with non-alc as differentiator, Margarita/Paloma serve naming (not 'tequila') to defuse "I don't drink tequila" objection.</t>
  </si>
  <si>
    <t>Danielle (input/sign-off); copywriting support TBC</t>
  </si>
  <si>
    <t>Tagline direction emerging. Must justify R169/4-pack vs cheaper RTDs at shelf. Lean on real-tequila + cooler-box convenience + non-alc.</t>
  </si>
  <si>
    <t>Cooler-box launch campaign (live Sept)</t>
  </si>
  <si>
    <t>Integrated September campaign built around the cooler-box-share idea. Tactics: (a) cooler-brand partnership — Plan A Field Bar (buy ~30 mini bars, cans fit perfectly), Plan B Yeti / Igloo / Coleman / Freedom of Movement; partner amplifies via emailer + social to drive to Checkers; (b) Surprise-and-delight: first 20 people to WhatsApp their braai address get a cooler box of margaritas dropped via Uber, photographer captures, content fuels the campaign video; (c) #DoñaFuego photo competition into the audience file; (d) optional Yeti stunt = "longest margarita pour of all time" (30 days in a Yeti).</t>
  </si>
  <si>
    <t>Field Bar head of marketing &amp; partnerships (LinkedIn intro), backup cooler brands, designer, photographer, Uber delivery</t>
  </si>
  <si>
    <t>Moved from July to SEPTEMBER — July/Aug = trade execution + shelf hygiene; September = consumer drop. This week: Johannes connects with Field Bar head of marketing on LinkedIn; Danielle drafts the partnership pitch email. NO price discounting — invest in tastings/campaign instead.</t>
  </si>
  <si>
    <t>Trade marketing — platinum stores + sell-out dashboard</t>
  </si>
  <si>
    <t>Get a weekly auto sales-out report per store from the Checkers buyer (non-negotiable — needed to see what's moving and catch stores where stock is sitting in the back not on shelf). Identify top 20–50 "platinum" stores nationally and concentrate ~80% of marketing/tastings/giveaways on them. Use existing reps (Swift / National) as eyes-on for problem stores; Checkers' internal merchandising handles the rest.</t>
  </si>
  <si>
    <t>Checkers buyer (auto report + sign-off), Swift / National reps, simple sell-out dashboard</t>
  </si>
  <si>
    <t>Every Checkers store = a billboard. Action: Danielle asks buyer for weekly auto sales-out report. Johannes builds light dashboard once data flowing.</t>
  </si>
  <si>
    <t>"1,000 Top Fans" audience file &amp; content engine</t>
  </si>
  <si>
    <t>Living Claude working file capturing mentions, photos, competition entries, top customers from day one. Foundation for content amplification and the September campaign. Cooler-box-drop event photography + Field Bar partnership content feed straight into this.</t>
  </si>
  <si>
    <t>Claude working file, social listening, photographer outputs, competition entries</t>
  </si>
  <si>
    <t>Stand up before launch so day-one mentions/photos are captured. Replaces the old "~80 PR pieces" target — trade marketing + Sept campaign is the lead channel, not traditional PR.</t>
  </si>
  <si>
    <t>Pitch deck &amp; data room (HTML / Claude-built)</t>
  </si>
  <si>
    <t>Raise-ready pack for the BRAND only — not the bulk arm. Structure: separate SBB holding the trademark with a supply agreement back to the distillery. Vision-led ~10-page interactive HTML deck (not a 30-slide PDF) + live FAQ that grows as investors ask questions. Target valuation ~R20m pre-launch on the blue-sky story before actuals come in. Pair with cash flow model (#7).</t>
  </si>
  <si>
    <t>Danielle (raw inputs, financials, vision), Claude (build), legal (entity spin-out + supply agreement)</t>
  </si>
  <si>
    <t>Johannes building this/next week (incl. from Mozambique). Danielle to send raw inputs + a view on what she wants from a strategic partner. Raise on cash flow story, not revenue — actuals dilute the valuation multiple.</t>
  </si>
  <si>
    <t>Cash flow model</t>
  </si>
  <si>
    <t>Plug Danielle's raw inputs (bulk-tequila prepayments, Tiny Keg 50/50 terms, R600k excise, Checkers 60-day cash cycle, allocation pre-payments from Patch/Cheeky/Heinos, first R2.7m PO + replenishment) into Johannes's cash flow template. 12-month view. Supports the raise conversation AND the ABSA overdraft / West Peak Capital / White Rock facility decisions.</t>
  </si>
  <si>
    <t>Danielle (raw inputs); Johannes's cash flow template</t>
  </si>
  <si>
    <t>Replaces old "Strategic partner shortlist" line — the raise is now the primary route, partner shortlist becomes a sub-output of the deck. Financing is in Danielle's hands (ABSA overdraft = base case; West Peak / White Rock ~R1.5m facility as backup), Johannes only on the model.</t>
  </si>
  <si>
    <t>Sounding board / coaching (ongoing)</t>
  </si>
  <si>
    <t>4 × 1hr structured sessions per month + ad-hoc via WhatsApp working group. Independent space to think out loud and stay accountable on marketing focus while Danielle runs the rest of the distillery business.</t>
  </si>
  <si>
    <t>WhatsApp working group (to set up)</t>
  </si>
  <si>
    <t>Sessions done: 9 Jun intro, 11 Jun marketing session. Next session ~20 Jun. WhatsApp group to be set up for ad-hoc questions and link sharing.</t>
  </si>
  <si>
    <t>Cooler-brand partnership (Field Bar / Yeti / Igloo)</t>
  </si>
  <si>
    <t>Approach via Johannes LinkedIn intro — Field Bar head of marketing &amp; partnerships first; Yeti / Igloo / Coleman / Freedom of Movement as backup</t>
  </si>
  <si>
    <t>Plan A Field Bar (cans fit the mini perfectly). Plan B Yeti (premium, now in SA but ~R7k). Brand amplifies via emailer + social to drive to Checkers.</t>
  </si>
  <si>
    <t>Trade marketing &amp; retail reps</t>
  </si>
  <si>
    <t>Swift / National (existing relationship); Checkers internal merchandising</t>
  </si>
  <si>
    <t>In existing reps' scope</t>
  </si>
  <si>
    <t>Replaces PR/influencer line — Sept campaign is the lead amplification channel, not traditional PR. Reps as eyes-on for problem stores; buyer's internal merch handles the rest.</t>
  </si>
  <si>
    <t>Checkers sales-out data feed</t>
  </si>
  <si>
    <t>Data</t>
  </si>
  <si>
    <t>4, 5</t>
  </si>
  <si>
    <t>Weekly auto report from Checkers buyer</t>
  </si>
  <si>
    <t>Non-negotiable. Danielle to ask buyer. Feeds the platinum-stores dashboard and the audience file.</t>
  </si>
  <si>
    <t>Cash flow modelling</t>
  </si>
  <si>
    <t>Johannes (template)</t>
  </si>
  <si>
    <t>Danielle sends raw inputs (bulk tequila, Tiny Keg terms, Checkers cycle, allocations). Supports raise + overdraft conversation.</t>
  </si>
  <si>
    <t>Lead audience confirmed = existing tequila drinkers (blue space, no big-brand RTD tequila competition). Anchor persona "Sannie from Sea Point" (Sweat 1000, walks the prom, wine farms on weekends, late 20s–late 30s, cosmopolitan). Primary occasion locked = SHARE OF COOLER BOX (braai, boat, picnic, holiday). Premise: nobody wants to bring all the margarita kit, and bringing wine to every braai is boring.</t>
  </si>
  <si>
    <t>Link</t>
  </si>
  <si>
    <t>https://lit.africa/</t>
  </si>
  <si>
    <t>https://fieldbar.co.za/collections/mini-bar</t>
  </si>
  <si>
    <t>https://circle.so/</t>
  </si>
  <si>
    <t>Budget (R)</t>
  </si>
  <si>
    <t>30 × R1,799 = R53,970 (retail) — negotiate partnership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</si>
</sst>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&quot;—&quot;;\R#,##0"/>
    <numFmt numFmtId="165" formatCode="\R#,##0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A2D"/>
      <name val="Arial"/>
      <family val="2"/>
    </font>
    <font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563C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D52"/>
        <bgColor rgb="FF008080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E7D5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6" fillId="0" borderId="0" xfId="0" applyFont="1"/>
    <xf numFmtId="9" fontId="6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center"/>
    </xf>
    <xf numFmtId="0" fontId="7" fillId="0" borderId="0" xfId="0" applyFont="1"/>
    <xf numFmtId="0" fontId="4" fillId="5" borderId="2" xfId="0" applyFont="1" applyFill="1" applyBorder="1" applyAlignment="1">
      <alignment horizontal="right" vertical="center"/>
    </xf>
    <xf numFmtId="164" fontId="10" fillId="0" borderId="0" xfId="0" applyNumberFormat="1" applyFont="1"/>
    <xf numFmtId="164" fontId="10" fillId="0" borderId="0" xfId="0" applyNumberFormat="1" applyFont="1" applyFill="1" applyBorder="1"/>
    <xf numFmtId="165" fontId="11" fillId="0" borderId="0" xfId="0" applyNumberFormat="1" applyFont="1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52"/>
      <rgbColor rgb="FF003300"/>
      <rgbColor rgb="FF333300"/>
      <rgbColor rgb="FF993300"/>
      <rgbColor rgb="FF993366"/>
      <rgbColor rgb="FF333399"/>
      <rgbColor rgb="FF1F3A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F503F9-A3B0-7D4C-81E3-8B0CAAAD453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47f5b5f-cc10-4a17-8a1b-15383bdd163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Normal="100" workbookViewId="0">
      <pane ySplit="4" topLeftCell="A7" activePane="bottomLeft" state="frozen"/>
      <selection pane="bottomLeft" activeCell="M12" sqref="M12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3" width="48" customWidth="1"/>
    <col min="4" max="4" width="16" customWidth="1"/>
    <col min="5" max="5" width="30" customWidth="1"/>
    <col min="6" max="6" width="14" customWidth="1"/>
    <col min="7" max="7" width="16" customWidth="1"/>
    <col min="8" max="8" width="9" customWidth="1"/>
    <col min="9" max="9" width="36" customWidth="1"/>
    <col min="10" max="10" width="30" customWidth="1"/>
    <col min="11" max="11" width="16.6640625" customWidth="1"/>
  </cols>
  <sheetData>
    <row r="1" spans="1:11" ht="18" x14ac:dyDescent="0.2">
      <c r="A1" s="1" t="s">
        <v>0</v>
      </c>
    </row>
    <row r="2" spans="1:11" x14ac:dyDescent="0.2">
      <c r="A2" s="2" t="s">
        <v>60</v>
      </c>
    </row>
    <row r="4" spans="1:11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13" t="s">
        <v>109</v>
      </c>
      <c r="K4" s="15" t="s">
        <v>113</v>
      </c>
    </row>
    <row r="5" spans="1:11" ht="112" x14ac:dyDescent="0.2">
      <c r="A5" s="4">
        <v>1</v>
      </c>
      <c r="B5" s="4" t="s">
        <v>61</v>
      </c>
      <c r="C5" s="9" t="s">
        <v>108</v>
      </c>
      <c r="D5" s="4" t="s">
        <v>10</v>
      </c>
      <c r="E5" s="4" t="s">
        <v>62</v>
      </c>
      <c r="F5" s="10">
        <v>46192</v>
      </c>
      <c r="G5" s="11" t="s">
        <v>63</v>
      </c>
      <c r="H5" s="5">
        <v>0.6</v>
      </c>
      <c r="I5" s="4" t="s">
        <v>64</v>
      </c>
      <c r="J5" s="14" t="s">
        <v>110</v>
      </c>
      <c r="K5" s="16">
        <v>0</v>
      </c>
    </row>
    <row r="6" spans="1:11" ht="84" x14ac:dyDescent="0.2">
      <c r="A6" s="4">
        <v>2</v>
      </c>
      <c r="B6" s="4" t="s">
        <v>65</v>
      </c>
      <c r="C6" s="4" t="s">
        <v>66</v>
      </c>
      <c r="D6" s="4" t="s">
        <v>12</v>
      </c>
      <c r="E6" s="4" t="s">
        <v>67</v>
      </c>
      <c r="F6" s="10">
        <v>46203</v>
      </c>
      <c r="G6" s="12" t="s">
        <v>11</v>
      </c>
      <c r="H6" s="5">
        <v>0.2</v>
      </c>
      <c r="I6" s="4" t="s">
        <v>68</v>
      </c>
      <c r="K6" s="16">
        <v>5000</v>
      </c>
    </row>
    <row r="7" spans="1:11" ht="154" x14ac:dyDescent="0.2">
      <c r="A7" s="4">
        <v>3</v>
      </c>
      <c r="B7" s="4" t="s">
        <v>69</v>
      </c>
      <c r="C7" s="4" t="s">
        <v>70</v>
      </c>
      <c r="D7" s="4" t="s">
        <v>10</v>
      </c>
      <c r="E7" s="4" t="s">
        <v>71</v>
      </c>
      <c r="F7" s="10">
        <v>46266</v>
      </c>
      <c r="G7" s="12" t="s">
        <v>11</v>
      </c>
      <c r="H7" s="5">
        <v>0.1</v>
      </c>
      <c r="I7" s="4" t="s">
        <v>72</v>
      </c>
      <c r="J7" s="14" t="s">
        <v>111</v>
      </c>
      <c r="K7" s="16">
        <v>130000</v>
      </c>
    </row>
    <row r="8" spans="1:11" ht="112" x14ac:dyDescent="0.2">
      <c r="A8" s="4">
        <v>4</v>
      </c>
      <c r="B8" s="4" t="s">
        <v>73</v>
      </c>
      <c r="C8" s="4" t="s">
        <v>74</v>
      </c>
      <c r="D8" s="4" t="s">
        <v>10</v>
      </c>
      <c r="E8" s="9" t="s">
        <v>75</v>
      </c>
      <c r="F8" s="10">
        <v>46221</v>
      </c>
      <c r="G8" s="12" t="s">
        <v>11</v>
      </c>
      <c r="H8" s="5">
        <v>0.05</v>
      </c>
      <c r="I8" s="4" t="s">
        <v>76</v>
      </c>
      <c r="K8" s="17">
        <v>5000</v>
      </c>
    </row>
    <row r="9" spans="1:11" ht="70" x14ac:dyDescent="0.2">
      <c r="A9" s="4">
        <v>5</v>
      </c>
      <c r="B9" s="4" t="s">
        <v>77</v>
      </c>
      <c r="C9" s="4" t="s">
        <v>78</v>
      </c>
      <c r="D9" s="4" t="s">
        <v>12</v>
      </c>
      <c r="E9" s="4" t="s">
        <v>79</v>
      </c>
      <c r="F9" s="10">
        <v>46228</v>
      </c>
      <c r="G9" s="4" t="s">
        <v>13</v>
      </c>
      <c r="H9" s="5">
        <v>0</v>
      </c>
      <c r="I9" s="4" t="s">
        <v>80</v>
      </c>
      <c r="J9" s="14" t="s">
        <v>112</v>
      </c>
      <c r="K9" s="17">
        <v>30000</v>
      </c>
    </row>
    <row r="10" spans="1:11" ht="98" x14ac:dyDescent="0.2">
      <c r="A10" s="4">
        <v>6</v>
      </c>
      <c r="B10" s="4" t="s">
        <v>81</v>
      </c>
      <c r="C10" s="4" t="s">
        <v>82</v>
      </c>
      <c r="D10" s="4" t="s">
        <v>12</v>
      </c>
      <c r="E10" s="4" t="s">
        <v>83</v>
      </c>
      <c r="F10" s="10">
        <v>46227</v>
      </c>
      <c r="G10" s="12" t="s">
        <v>11</v>
      </c>
      <c r="H10" s="5">
        <v>0.1</v>
      </c>
      <c r="I10" s="4" t="s">
        <v>84</v>
      </c>
      <c r="K10" s="17">
        <v>15000</v>
      </c>
    </row>
    <row r="11" spans="1:11" ht="98" x14ac:dyDescent="0.2">
      <c r="A11" s="4">
        <v>7</v>
      </c>
      <c r="B11" s="4" t="s">
        <v>85</v>
      </c>
      <c r="C11" s="4" t="s">
        <v>86</v>
      </c>
      <c r="D11" s="4" t="s">
        <v>12</v>
      </c>
      <c r="E11" s="4" t="s">
        <v>87</v>
      </c>
      <c r="F11" s="10">
        <v>46200</v>
      </c>
      <c r="G11" s="4" t="s">
        <v>13</v>
      </c>
      <c r="H11" s="5">
        <v>0</v>
      </c>
      <c r="I11" s="4" t="s">
        <v>88</v>
      </c>
      <c r="K11" s="17">
        <v>0</v>
      </c>
    </row>
    <row r="12" spans="1:11" ht="56" x14ac:dyDescent="0.2">
      <c r="A12" s="4">
        <v>8</v>
      </c>
      <c r="B12" s="4" t="s">
        <v>89</v>
      </c>
      <c r="C12" s="4" t="s">
        <v>90</v>
      </c>
      <c r="D12" s="4" t="s">
        <v>12</v>
      </c>
      <c r="E12" s="4" t="s">
        <v>91</v>
      </c>
      <c r="F12" s="4" t="s">
        <v>15</v>
      </c>
      <c r="G12" s="12" t="s">
        <v>11</v>
      </c>
      <c r="H12" s="5">
        <v>0.15</v>
      </c>
      <c r="I12" s="4" t="s">
        <v>92</v>
      </c>
      <c r="K12" s="17">
        <v>0</v>
      </c>
    </row>
    <row r="13" spans="1:11" x14ac:dyDescent="0.2">
      <c r="G13" s="6" t="s">
        <v>16</v>
      </c>
      <c r="H13" s="7">
        <f>AVERAGE(H5:H12)</f>
        <v>0.15</v>
      </c>
      <c r="K13" s="18">
        <f>SUM(K5:K12)</f>
        <v>185000</v>
      </c>
    </row>
  </sheetData>
  <conditionalFormatting sqref="G5:G12">
    <cfRule type="cellIs" dxfId="5" priority="2" operator="equal">
      <formula>"Done"</formula>
    </cfRule>
    <cfRule type="cellIs" dxfId="4" priority="3" operator="equal">
      <formula>"In Progress"</formula>
    </cfRule>
    <cfRule type="cellIs" dxfId="3" priority="4" operator="equal">
      <formula>"Blocked"</formula>
    </cfRule>
  </conditionalFormatting>
  <dataValidations count="1">
    <dataValidation type="list" allowBlank="1" sqref="G5:G12" xr:uid="{00000000-0002-0000-00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Normal="100" workbookViewId="0">
      <pane ySplit="4" topLeftCell="A5" activePane="bottomLeft" state="frozen"/>
      <selection pane="bottomLeft" activeCell="E8" sqref="E8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24" customWidth="1"/>
    <col min="4" max="4" width="26" customWidth="1"/>
    <col min="5" max="5" width="16" customWidth="1"/>
    <col min="6" max="6" width="14" customWidth="1"/>
    <col min="7" max="7" width="40" customWidth="1"/>
  </cols>
  <sheetData>
    <row r="1" spans="1:7" ht="18" x14ac:dyDescent="0.2">
      <c r="A1" s="1" t="s">
        <v>17</v>
      </c>
    </row>
    <row r="2" spans="1:7" x14ac:dyDescent="0.2">
      <c r="A2" s="2" t="s">
        <v>18</v>
      </c>
    </row>
    <row r="4" spans="1:7" x14ac:dyDescent="0.2">
      <c r="A4" s="8" t="s">
        <v>19</v>
      </c>
      <c r="B4" s="8" t="s">
        <v>20</v>
      </c>
      <c r="C4" s="8" t="s">
        <v>21</v>
      </c>
      <c r="D4" s="8" t="s">
        <v>22</v>
      </c>
      <c r="E4" s="8" t="s">
        <v>7</v>
      </c>
      <c r="F4" s="8" t="s">
        <v>23</v>
      </c>
      <c r="G4" s="8" t="s">
        <v>9</v>
      </c>
    </row>
    <row r="5" spans="1:7" x14ac:dyDescent="0.2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spans="1:7" ht="28" x14ac:dyDescent="0.2">
      <c r="A6" s="4" t="s">
        <v>31</v>
      </c>
      <c r="B6" s="4" t="s">
        <v>32</v>
      </c>
      <c r="C6" s="4" t="s">
        <v>33</v>
      </c>
      <c r="D6" s="4" t="s">
        <v>34</v>
      </c>
      <c r="E6" s="4" t="s">
        <v>28</v>
      </c>
      <c r="F6" s="4" t="s">
        <v>14</v>
      </c>
      <c r="G6" s="4" t="s">
        <v>35</v>
      </c>
    </row>
    <row r="7" spans="1:7" ht="84" x14ac:dyDescent="0.2">
      <c r="A7" s="4" t="s">
        <v>93</v>
      </c>
      <c r="B7" s="4" t="s">
        <v>36</v>
      </c>
      <c r="C7" s="4">
        <v>3</v>
      </c>
      <c r="D7" s="4" t="s">
        <v>94</v>
      </c>
      <c r="E7" s="4" t="s">
        <v>37</v>
      </c>
      <c r="F7" s="4" t="s">
        <v>114</v>
      </c>
      <c r="G7" s="4" t="s">
        <v>95</v>
      </c>
    </row>
    <row r="8" spans="1:7" ht="28" x14ac:dyDescent="0.2">
      <c r="A8" s="4" t="s">
        <v>38</v>
      </c>
      <c r="B8" s="4" t="s">
        <v>39</v>
      </c>
      <c r="C8" s="4" t="s">
        <v>40</v>
      </c>
      <c r="D8" s="4" t="s">
        <v>41</v>
      </c>
      <c r="E8" s="4" t="s">
        <v>28</v>
      </c>
      <c r="F8" s="4" t="s">
        <v>42</v>
      </c>
      <c r="G8" s="4" t="s">
        <v>43</v>
      </c>
    </row>
    <row r="9" spans="1:7" ht="56" x14ac:dyDescent="0.2">
      <c r="A9" s="4" t="s">
        <v>96</v>
      </c>
      <c r="B9" s="4" t="s">
        <v>39</v>
      </c>
      <c r="C9" s="4">
        <v>4</v>
      </c>
      <c r="D9" s="4" t="s">
        <v>97</v>
      </c>
      <c r="E9" s="4" t="s">
        <v>28</v>
      </c>
      <c r="F9" s="4" t="s">
        <v>98</v>
      </c>
      <c r="G9" s="4" t="s">
        <v>99</v>
      </c>
    </row>
    <row r="10" spans="1:7" ht="28" x14ac:dyDescent="0.2">
      <c r="A10" s="4" t="s">
        <v>100</v>
      </c>
      <c r="B10" s="4" t="s">
        <v>101</v>
      </c>
      <c r="C10" s="4" t="s">
        <v>102</v>
      </c>
      <c r="D10" s="4" t="s">
        <v>103</v>
      </c>
      <c r="E10" s="4" t="s">
        <v>37</v>
      </c>
      <c r="F10" s="4" t="s">
        <v>14</v>
      </c>
      <c r="G10" s="4" t="s">
        <v>104</v>
      </c>
    </row>
    <row r="11" spans="1:7" ht="42" x14ac:dyDescent="0.2">
      <c r="A11" s="4" t="s">
        <v>105</v>
      </c>
      <c r="B11" s="4" t="s">
        <v>25</v>
      </c>
      <c r="C11" s="4" t="s">
        <v>49</v>
      </c>
      <c r="D11" s="4" t="s">
        <v>106</v>
      </c>
      <c r="E11" s="4" t="s">
        <v>28</v>
      </c>
      <c r="F11" s="4" t="s">
        <v>29</v>
      </c>
      <c r="G11" s="4" t="s">
        <v>107</v>
      </c>
    </row>
    <row r="12" spans="1:7" x14ac:dyDescent="0.2">
      <c r="A12" s="4" t="s">
        <v>45</v>
      </c>
      <c r="B12" s="4" t="s">
        <v>39</v>
      </c>
      <c r="C12" s="4" t="s">
        <v>44</v>
      </c>
      <c r="D12" s="4" t="s">
        <v>46</v>
      </c>
      <c r="E12" s="4" t="s">
        <v>37</v>
      </c>
      <c r="F12" s="4" t="s">
        <v>42</v>
      </c>
      <c r="G12" s="4" t="s">
        <v>47</v>
      </c>
    </row>
    <row r="13" spans="1:7" ht="28" x14ac:dyDescent="0.2">
      <c r="A13" s="4" t="s">
        <v>48</v>
      </c>
      <c r="B13" s="4" t="s">
        <v>39</v>
      </c>
      <c r="C13" s="4" t="s">
        <v>49</v>
      </c>
      <c r="D13" s="4" t="s">
        <v>50</v>
      </c>
      <c r="E13" s="4" t="s">
        <v>37</v>
      </c>
      <c r="F13" s="4" t="s">
        <v>42</v>
      </c>
      <c r="G13" s="4" t="s">
        <v>51</v>
      </c>
    </row>
    <row r="14" spans="1:7" ht="28" x14ac:dyDescent="0.2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28</v>
      </c>
      <c r="F14" s="4" t="s">
        <v>14</v>
      </c>
      <c r="G14" s="4" t="s">
        <v>56</v>
      </c>
    </row>
    <row r="15" spans="1:7" x14ac:dyDescent="0.2">
      <c r="A15" s="4" t="s">
        <v>57</v>
      </c>
      <c r="B15" s="4" t="s">
        <v>53</v>
      </c>
      <c r="C15" s="4" t="s">
        <v>58</v>
      </c>
      <c r="D15" s="4" t="s">
        <v>12</v>
      </c>
      <c r="E15" s="4" t="s">
        <v>28</v>
      </c>
      <c r="F15" s="4" t="s">
        <v>14</v>
      </c>
      <c r="G15" s="4" t="s">
        <v>59</v>
      </c>
    </row>
  </sheetData>
  <conditionalFormatting sqref="E5:E15">
    <cfRule type="cellIs" dxfId="2" priority="2" operator="equal">
      <formula>"Secured"</formula>
    </cfRule>
    <cfRule type="cellIs" dxfId="1" priority="3" operator="equal">
      <formula>"Partially Secured"</formula>
    </cfRule>
    <cfRule type="cellIs" dxfId="0" priority="4" operator="equal">
      <formula>"Not Secured"</formula>
    </cfRule>
  </conditionalFormatting>
  <dataValidations count="1">
    <dataValidation type="list" allowBlank="1" sqref="E5:E15" xr:uid="{00000000-0002-0000-0100-000000000000}">
      <formula1>"Secured,Partially Secured,Not Secured"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Deliverables</vt:lpstr>
      <vt:lpstr>Resources &amp;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Johannes Le Roux</cp:lastModifiedBy>
  <cp:revision>0</cp:revision>
  <dcterms:created xsi:type="dcterms:W3CDTF">2026-06-10T10:40:49Z</dcterms:created>
  <dcterms:modified xsi:type="dcterms:W3CDTF">2026-06-11T09:25:02Z</dcterms:modified>
  <dc:language>en-US</dc:language>
</cp:coreProperties>
</file>