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hannesleroux/Desktop/Coaching Clients /Dona Distillery /"/>
    </mc:Choice>
  </mc:AlternateContent>
  <xr:revisionPtr revIDLastSave="0" documentId="13_ncr:1_{68201B86-0C23-D247-887B-141FCF46168F}" xr6:coauthVersionLast="47" xr6:coauthVersionMax="47" xr10:uidLastSave="{00000000-0000-0000-0000-000000000000}"/>
  <bookViews>
    <workbookView xWindow="400" yWindow="1320" windowWidth="29400" windowHeight="18360" activeTab="4" xr2:uid="{00000000-000D-0000-FFFF-FFFF00000000}"/>
  </bookViews>
  <sheets>
    <sheet name="Assumptions" sheetId="4" r:id="rId1"/>
    <sheet name="P&amp;L" sheetId="5" r:id="rId2"/>
    <sheet name="Cashflow" sheetId="6" r:id="rId3"/>
    <sheet name="Summary" sheetId="7" r:id="rId4"/>
    <sheet name="Valuation" sheetId="8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8" l="1"/>
  <c r="B50" i="8"/>
  <c r="D47" i="8"/>
  <c r="C47" i="8"/>
  <c r="B47" i="8"/>
  <c r="D46" i="8"/>
  <c r="C46" i="8"/>
  <c r="D45" i="8"/>
  <c r="C45" i="8"/>
  <c r="D44" i="8"/>
  <c r="C44" i="8"/>
  <c r="B44" i="8"/>
  <c r="D41" i="8"/>
  <c r="C41" i="8"/>
  <c r="B41" i="8"/>
  <c r="D40" i="8"/>
  <c r="C40" i="8"/>
  <c r="B40" i="8"/>
  <c r="D39" i="8"/>
  <c r="C39" i="8"/>
  <c r="B39" i="8"/>
  <c r="D38" i="8"/>
  <c r="C38" i="8"/>
  <c r="B38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2" i="8"/>
  <c r="C22" i="8"/>
  <c r="B22" i="8"/>
  <c r="D21" i="8"/>
  <c r="C21" i="8"/>
  <c r="B21" i="8"/>
  <c r="D16" i="8"/>
  <c r="C16" i="8"/>
  <c r="B16" i="8"/>
  <c r="D15" i="8"/>
  <c r="C15" i="8"/>
  <c r="B15" i="8"/>
  <c r="D11" i="8"/>
  <c r="C11" i="8"/>
  <c r="B11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W21" i="6"/>
  <c r="W20" i="6"/>
  <c r="W19" i="6"/>
  <c r="W18" i="6"/>
  <c r="W17" i="6"/>
  <c r="W16" i="6"/>
  <c r="W15" i="6"/>
  <c r="W14" i="6"/>
  <c r="W10" i="6"/>
  <c r="W9" i="6"/>
  <c r="W8" i="6"/>
  <c r="W7" i="6"/>
  <c r="W6" i="6"/>
  <c r="V8" i="6"/>
  <c r="U8" i="6"/>
  <c r="T8" i="6"/>
  <c r="S8" i="6"/>
  <c r="R8" i="6"/>
  <c r="Q8" i="6"/>
  <c r="Q10" i="6" s="1"/>
  <c r="P8" i="6"/>
  <c r="P10" i="6" s="1"/>
  <c r="O8" i="6"/>
  <c r="N8" i="6"/>
  <c r="N10" i="6" s="1"/>
  <c r="M8" i="6"/>
  <c r="M10" i="6" s="1"/>
  <c r="L8" i="6"/>
  <c r="K8" i="6"/>
  <c r="J8" i="6"/>
  <c r="I8" i="6"/>
  <c r="H8" i="6"/>
  <c r="G8" i="6"/>
  <c r="G10" i="6" s="1"/>
  <c r="G26" i="6" s="1"/>
  <c r="F8" i="6"/>
  <c r="F10" i="6" s="1"/>
  <c r="F26" i="6" s="1"/>
  <c r="E8" i="6"/>
  <c r="D8" i="6"/>
  <c r="I26" i="6"/>
  <c r="H26" i="6"/>
  <c r="E26" i="6"/>
  <c r="D26" i="6"/>
  <c r="D27" i="6" s="1"/>
  <c r="E27" i="6" s="1"/>
  <c r="C24" i="6"/>
  <c r="C23" i="6"/>
  <c r="C10" i="6"/>
  <c r="C26" i="6"/>
  <c r="C27" i="6" s="1"/>
  <c r="I24" i="6"/>
  <c r="H24" i="6"/>
  <c r="G24" i="6"/>
  <c r="F24" i="6"/>
  <c r="E24" i="6"/>
  <c r="D24" i="6"/>
  <c r="S23" i="6"/>
  <c r="R23" i="6"/>
  <c r="Q23" i="6"/>
  <c r="P23" i="6"/>
  <c r="O23" i="6"/>
  <c r="M23" i="6"/>
  <c r="J23" i="6"/>
  <c r="I23" i="6"/>
  <c r="H23" i="6"/>
  <c r="G23" i="6"/>
  <c r="F23" i="6"/>
  <c r="E23" i="6"/>
  <c r="D23" i="6"/>
  <c r="V22" i="6"/>
  <c r="V23" i="6" s="1"/>
  <c r="U22" i="6"/>
  <c r="U23" i="6" s="1"/>
  <c r="T22" i="6"/>
  <c r="T23" i="6" s="1"/>
  <c r="S22" i="6"/>
  <c r="R22" i="6"/>
  <c r="Q22" i="6"/>
  <c r="P22" i="6"/>
  <c r="O22" i="6"/>
  <c r="N22" i="6"/>
  <c r="M22" i="6"/>
  <c r="L22" i="6"/>
  <c r="L23" i="6" s="1"/>
  <c r="K22" i="6"/>
  <c r="K23" i="6" s="1"/>
  <c r="V21" i="6"/>
  <c r="U21" i="6"/>
  <c r="T21" i="6"/>
  <c r="S21" i="6"/>
  <c r="R21" i="6"/>
  <c r="Q21" i="6"/>
  <c r="P21" i="6"/>
  <c r="O21" i="6"/>
  <c r="N21" i="6"/>
  <c r="M21" i="6"/>
  <c r="L21" i="6"/>
  <c r="K21" i="6"/>
  <c r="T13" i="6"/>
  <c r="T24" i="6" s="1"/>
  <c r="T26" i="6" s="1"/>
  <c r="R13" i="6"/>
  <c r="R24" i="6" s="1"/>
  <c r="R26" i="6" s="1"/>
  <c r="J13" i="6"/>
  <c r="I13" i="6"/>
  <c r="H13" i="6"/>
  <c r="G13" i="6"/>
  <c r="F13" i="6"/>
  <c r="E13" i="6"/>
  <c r="D13" i="6"/>
  <c r="V10" i="6"/>
  <c r="U10" i="6"/>
  <c r="T10" i="6"/>
  <c r="S10" i="6"/>
  <c r="R10" i="6"/>
  <c r="O10" i="6"/>
  <c r="L10" i="6"/>
  <c r="K10" i="6"/>
  <c r="J10" i="6"/>
  <c r="I10" i="6"/>
  <c r="H10" i="6"/>
  <c r="E10" i="6"/>
  <c r="D10" i="6"/>
  <c r="V9" i="6"/>
  <c r="U9" i="6"/>
  <c r="T9" i="6"/>
  <c r="S9" i="6"/>
  <c r="R9" i="6"/>
  <c r="Q9" i="6"/>
  <c r="P9" i="6"/>
  <c r="O9" i="6"/>
  <c r="N9" i="6"/>
  <c r="M9" i="6"/>
  <c r="L9" i="6"/>
  <c r="K9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C8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W32" i="5"/>
  <c r="W13" i="5"/>
  <c r="W12" i="5"/>
  <c r="W11" i="5"/>
  <c r="W10" i="5"/>
  <c r="W9" i="5"/>
  <c r="W8" i="5"/>
  <c r="W7" i="5"/>
  <c r="W6" i="5"/>
  <c r="H34" i="5"/>
  <c r="G34" i="5"/>
  <c r="F34" i="5"/>
  <c r="E34" i="5"/>
  <c r="D34" i="5"/>
  <c r="H33" i="5"/>
  <c r="G33" i="5"/>
  <c r="F33" i="5"/>
  <c r="E33" i="5"/>
  <c r="D33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H31" i="5"/>
  <c r="G31" i="5"/>
  <c r="F31" i="5"/>
  <c r="E31" i="5"/>
  <c r="D31" i="5"/>
  <c r="H30" i="5"/>
  <c r="G30" i="5"/>
  <c r="F30" i="5"/>
  <c r="E30" i="5"/>
  <c r="D30" i="5"/>
  <c r="H29" i="5"/>
  <c r="G29" i="5"/>
  <c r="F29" i="5"/>
  <c r="E29" i="5"/>
  <c r="D29" i="5"/>
  <c r="T28" i="5"/>
  <c r="H28" i="5"/>
  <c r="G28" i="5"/>
  <c r="F28" i="5"/>
  <c r="E28" i="5"/>
  <c r="D28" i="5"/>
  <c r="H25" i="5"/>
  <c r="G25" i="5"/>
  <c r="F25" i="5"/>
  <c r="E25" i="5"/>
  <c r="D25" i="5"/>
  <c r="H24" i="5"/>
  <c r="G24" i="5"/>
  <c r="F24" i="5"/>
  <c r="E24" i="5"/>
  <c r="D24" i="5"/>
  <c r="H23" i="5"/>
  <c r="G23" i="5"/>
  <c r="F23" i="5"/>
  <c r="E23" i="5"/>
  <c r="D23" i="5"/>
  <c r="S22" i="5"/>
  <c r="P22" i="5"/>
  <c r="I22" i="5"/>
  <c r="H22" i="5"/>
  <c r="G22" i="5"/>
  <c r="F22" i="5"/>
  <c r="E22" i="5"/>
  <c r="D22" i="5"/>
  <c r="O21" i="5"/>
  <c r="H21" i="5"/>
  <c r="G21" i="5"/>
  <c r="F21" i="5"/>
  <c r="E21" i="5"/>
  <c r="D21" i="5"/>
  <c r="O20" i="5"/>
  <c r="N20" i="5"/>
  <c r="H20" i="5"/>
  <c r="G20" i="5"/>
  <c r="F20" i="5"/>
  <c r="E20" i="5"/>
  <c r="D20" i="5"/>
  <c r="O19" i="5"/>
  <c r="N19" i="5"/>
  <c r="M19" i="5"/>
  <c r="H19" i="5"/>
  <c r="G19" i="5"/>
  <c r="F19" i="5"/>
  <c r="E19" i="5"/>
  <c r="D19" i="5"/>
  <c r="V18" i="5"/>
  <c r="O18" i="5"/>
  <c r="N18" i="5"/>
  <c r="M18" i="5"/>
  <c r="L18" i="5"/>
  <c r="H18" i="5"/>
  <c r="G18" i="5"/>
  <c r="F18" i="5"/>
  <c r="E18" i="5"/>
  <c r="D18" i="5"/>
  <c r="V17" i="5"/>
  <c r="B17" i="7" s="1"/>
  <c r="U17" i="5"/>
  <c r="S17" i="5"/>
  <c r="S18" i="5" s="1"/>
  <c r="O17" i="5"/>
  <c r="N17" i="5"/>
  <c r="O13" i="6" s="1"/>
  <c r="O24" i="6" s="1"/>
  <c r="O26" i="6" s="1"/>
  <c r="M17" i="5"/>
  <c r="M22" i="5" s="1"/>
  <c r="L17" i="5"/>
  <c r="L21" i="5" s="1"/>
  <c r="K17" i="5"/>
  <c r="I17" i="5"/>
  <c r="I18" i="5" s="1"/>
  <c r="H17" i="5"/>
  <c r="G17" i="5"/>
  <c r="F17" i="5"/>
  <c r="E17" i="5"/>
  <c r="D17" i="5"/>
  <c r="V16" i="5"/>
  <c r="U16" i="5"/>
  <c r="T16" i="5"/>
  <c r="T17" i="5" s="1"/>
  <c r="S16" i="5"/>
  <c r="R16" i="5"/>
  <c r="R17" i="5" s="1"/>
  <c r="Q16" i="5"/>
  <c r="Q17" i="5" s="1"/>
  <c r="P16" i="5"/>
  <c r="P17" i="5" s="1"/>
  <c r="O16" i="5"/>
  <c r="N16" i="5"/>
  <c r="M16" i="5"/>
  <c r="L16" i="5"/>
  <c r="K16" i="5"/>
  <c r="J16" i="5"/>
  <c r="J17" i="5" s="1"/>
  <c r="I16" i="5"/>
  <c r="W16" i="5" s="1"/>
  <c r="F16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T8" i="5"/>
  <c r="Q8" i="5"/>
  <c r="O8" i="5"/>
  <c r="L8" i="5"/>
  <c r="U7" i="5"/>
  <c r="S7" i="5"/>
  <c r="R7" i="5"/>
  <c r="M7" i="5"/>
  <c r="K7" i="5"/>
  <c r="V6" i="5"/>
  <c r="R6" i="5"/>
  <c r="P6" i="5"/>
  <c r="N6" i="5"/>
  <c r="K6" i="5"/>
  <c r="B25" i="4"/>
  <c r="B16" i="4"/>
  <c r="B14" i="4"/>
  <c r="W22" i="6" l="1"/>
  <c r="N23" i="6"/>
  <c r="W23" i="6" s="1"/>
  <c r="O23" i="5"/>
  <c r="O29" i="5" s="1"/>
  <c r="U20" i="5"/>
  <c r="U21" i="5"/>
  <c r="V13" i="6"/>
  <c r="V24" i="6" s="1"/>
  <c r="U22" i="5"/>
  <c r="U18" i="5"/>
  <c r="U19" i="5"/>
  <c r="U28" i="5"/>
  <c r="Q28" i="5"/>
  <c r="Q19" i="5"/>
  <c r="Q20" i="5"/>
  <c r="Q21" i="5"/>
  <c r="Q18" i="5"/>
  <c r="Q22" i="5"/>
  <c r="K20" i="5"/>
  <c r="K21" i="5"/>
  <c r="K22" i="5"/>
  <c r="L13" i="6"/>
  <c r="L24" i="6" s="1"/>
  <c r="L26" i="6" s="1"/>
  <c r="K18" i="5"/>
  <c r="K19" i="5"/>
  <c r="K28" i="5"/>
  <c r="P20" i="5"/>
  <c r="P28" i="5"/>
  <c r="P18" i="5"/>
  <c r="Q13" i="6"/>
  <c r="Q24" i="6" s="1"/>
  <c r="Q26" i="6" s="1"/>
  <c r="P19" i="5"/>
  <c r="P21" i="5"/>
  <c r="R20" i="5"/>
  <c r="R18" i="5"/>
  <c r="R19" i="5"/>
  <c r="S13" i="6"/>
  <c r="S24" i="6" s="1"/>
  <c r="S26" i="6" s="1"/>
  <c r="R28" i="5"/>
  <c r="R21" i="5"/>
  <c r="R22" i="5"/>
  <c r="J19" i="5"/>
  <c r="K13" i="6"/>
  <c r="K24" i="6" s="1"/>
  <c r="J20" i="5"/>
  <c r="J22" i="5"/>
  <c r="J21" i="5"/>
  <c r="J18" i="5"/>
  <c r="J23" i="5" s="1"/>
  <c r="J29" i="5" s="1"/>
  <c r="T19" i="5"/>
  <c r="T20" i="5"/>
  <c r="U13" i="6"/>
  <c r="U24" i="6" s="1"/>
  <c r="U26" i="6" s="1"/>
  <c r="T21" i="5"/>
  <c r="T22" i="5"/>
  <c r="T18" i="5"/>
  <c r="J28" i="5"/>
  <c r="N26" i="6"/>
  <c r="P26" i="6"/>
  <c r="L20" i="5"/>
  <c r="V20" i="5"/>
  <c r="M21" i="5"/>
  <c r="N22" i="5"/>
  <c r="K26" i="6"/>
  <c r="P13" i="6"/>
  <c r="P24" i="6" s="1"/>
  <c r="L19" i="5"/>
  <c r="L23" i="5" s="1"/>
  <c r="V19" i="5"/>
  <c r="V23" i="5" s="1"/>
  <c r="M20" i="5"/>
  <c r="M23" i="5" s="1"/>
  <c r="N21" i="5"/>
  <c r="N23" i="5" s="1"/>
  <c r="O22" i="5"/>
  <c r="I28" i="5"/>
  <c r="W28" i="5" s="1"/>
  <c r="B4" i="7" s="1"/>
  <c r="S28" i="5"/>
  <c r="M26" i="6"/>
  <c r="S21" i="5"/>
  <c r="J24" i="6"/>
  <c r="I20" i="5"/>
  <c r="S20" i="5"/>
  <c r="O28" i="5"/>
  <c r="V26" i="6"/>
  <c r="M13" i="6"/>
  <c r="M24" i="6" s="1"/>
  <c r="L28" i="5"/>
  <c r="M28" i="5"/>
  <c r="I21" i="5"/>
  <c r="N28" i="5"/>
  <c r="I19" i="5"/>
  <c r="S19" i="5"/>
  <c r="S23" i="5" s="1"/>
  <c r="L22" i="5"/>
  <c r="V22" i="5"/>
  <c r="W17" i="5"/>
  <c r="N13" i="6"/>
  <c r="N24" i="6" s="1"/>
  <c r="V28" i="5"/>
  <c r="V21" i="5"/>
  <c r="F27" i="6"/>
  <c r="G27" i="6" s="1"/>
  <c r="H27" i="6" s="1"/>
  <c r="I27" i="6" s="1"/>
  <c r="V29" i="5" l="1"/>
  <c r="V24" i="5"/>
  <c r="M29" i="5"/>
  <c r="M24" i="5"/>
  <c r="L29" i="5"/>
  <c r="L24" i="5"/>
  <c r="S29" i="5"/>
  <c r="S24" i="5"/>
  <c r="N29" i="5"/>
  <c r="N24" i="5"/>
  <c r="W19" i="5"/>
  <c r="P23" i="5"/>
  <c r="K23" i="5"/>
  <c r="I23" i="5"/>
  <c r="J27" i="6"/>
  <c r="W18" i="5"/>
  <c r="W13" i="6"/>
  <c r="U23" i="5"/>
  <c r="Q23" i="5"/>
  <c r="W20" i="5"/>
  <c r="W24" i="6"/>
  <c r="J26" i="6"/>
  <c r="W26" i="6" s="1"/>
  <c r="B14" i="7" s="1"/>
  <c r="J24" i="5"/>
  <c r="R23" i="5"/>
  <c r="W21" i="5"/>
  <c r="T23" i="5"/>
  <c r="W22" i="5"/>
  <c r="O24" i="5"/>
  <c r="Q29" i="5" l="1"/>
  <c r="Q24" i="5"/>
  <c r="U29" i="5"/>
  <c r="U24" i="5"/>
  <c r="K29" i="5"/>
  <c r="K24" i="5"/>
  <c r="T29" i="5"/>
  <c r="T24" i="5"/>
  <c r="L25" i="5"/>
  <c r="L30" i="5"/>
  <c r="K27" i="6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B12" i="7"/>
  <c r="B11" i="7"/>
  <c r="R29" i="5"/>
  <c r="R24" i="5"/>
  <c r="W23" i="5"/>
  <c r="I24" i="5"/>
  <c r="I29" i="5"/>
  <c r="W29" i="5" s="1"/>
  <c r="J25" i="5"/>
  <c r="J30" i="5"/>
  <c r="P29" i="5"/>
  <c r="P24" i="5"/>
  <c r="V25" i="5"/>
  <c r="V30" i="5"/>
  <c r="N30" i="5"/>
  <c r="N25" i="5"/>
  <c r="O25" i="5"/>
  <c r="O30" i="5"/>
  <c r="S30" i="5"/>
  <c r="S25" i="5"/>
  <c r="M25" i="5"/>
  <c r="M30" i="5"/>
  <c r="Q30" i="5" l="1"/>
  <c r="Q25" i="5"/>
  <c r="J31" i="5"/>
  <c r="J33" i="5"/>
  <c r="J34" i="5" s="1"/>
  <c r="L33" i="5"/>
  <c r="L34" i="5" s="1"/>
  <c r="L31" i="5"/>
  <c r="S31" i="5"/>
  <c r="S33" i="5"/>
  <c r="S34" i="5" s="1"/>
  <c r="O31" i="5"/>
  <c r="O33" i="5"/>
  <c r="O34" i="5" s="1"/>
  <c r="T30" i="5"/>
  <c r="T25" i="5"/>
  <c r="I30" i="5"/>
  <c r="W24" i="5"/>
  <c r="W25" i="5" s="1"/>
  <c r="I25" i="5"/>
  <c r="K25" i="5"/>
  <c r="K30" i="5"/>
  <c r="N33" i="5"/>
  <c r="N34" i="5" s="1"/>
  <c r="N31" i="5"/>
  <c r="R30" i="5"/>
  <c r="R25" i="5"/>
  <c r="V33" i="5"/>
  <c r="V34" i="5" s="1"/>
  <c r="V31" i="5"/>
  <c r="U25" i="5"/>
  <c r="U30" i="5"/>
  <c r="M33" i="5"/>
  <c r="M34" i="5" s="1"/>
  <c r="M31" i="5"/>
  <c r="P25" i="5"/>
  <c r="P30" i="5"/>
  <c r="W27" i="6"/>
  <c r="B13" i="7"/>
  <c r="U33" i="5" l="1"/>
  <c r="U34" i="5" s="1"/>
  <c r="U31" i="5"/>
  <c r="W30" i="5"/>
  <c r="I31" i="5"/>
  <c r="I33" i="5"/>
  <c r="R31" i="5"/>
  <c r="R33" i="5"/>
  <c r="R34" i="5" s="1"/>
  <c r="P31" i="5"/>
  <c r="P33" i="5"/>
  <c r="P34" i="5" s="1"/>
  <c r="K33" i="5"/>
  <c r="K34" i="5" s="1"/>
  <c r="K31" i="5"/>
  <c r="T31" i="5"/>
  <c r="T33" i="5"/>
  <c r="T34" i="5" s="1"/>
  <c r="Q31" i="5"/>
  <c r="Q33" i="5"/>
  <c r="Q34" i="5" s="1"/>
  <c r="I34" i="5" l="1"/>
  <c r="W33" i="5"/>
  <c r="B5" i="7"/>
  <c r="W31" i="5"/>
  <c r="B6" i="7" s="1"/>
  <c r="B7" i="7" l="1"/>
  <c r="W34" i="5"/>
  <c r="B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Johannes Le Roux</author>
  </authors>
  <commentList>
    <comment ref="B16" authorId="0" shapeId="0" xr:uid="{A48ABA7C-292F-614B-B9A8-A724A38FDC9F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Derived from initial fill: R2.287M / 2,700 cases.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Johannes Le Roux</author>
  </authors>
  <commentList>
    <comment ref="F16" authorId="0" shapeId="0" xr:uid="{3E66E927-D27B-DE4F-AECB-317C9ECE219C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Initial fill: 300 stores × 3 SKUs × 3 cases</t>
        </r>
      </text>
    </comment>
    <comment ref="H16" authorId="0" shapeId="0" xr:uid="{1BC7B65A-AD8C-FE44-9EBC-4F3E820FB582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Partial reorder (1,050 cases) before steady state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Johannes Le Roux</author>
  </authors>
  <commentList>
    <comment ref="C6" authorId="0" shapeId="0" xr:uid="{A97D4B67-F0D3-6540-9D1D-70748C5EE7B2}">
      <text>
        <r>
          <rPr>
            <b/>
            <sz val="10"/>
            <color rgb="FF000000"/>
            <rFont val="Tahoma"/>
            <family val="2"/>
          </rPr>
          <t>75% upfront for Jun 26 deliveries paid in May 26.</t>
        </r>
      </text>
    </comment>
    <comment ref="V6" authorId="0" shapeId="0" xr:uid="{B3CE89D2-729B-0F41-A1DC-E958369F9F23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Dec 27 has no Jan 28 deliveries in scope.</t>
        </r>
      </text>
    </comment>
    <comment ref="D13" authorId="0" shapeId="0" xr:uid="{694F04FA-25EB-314F-B2D0-C4DF6B6F4712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E13" authorId="0" shapeId="0" xr:uid="{6B8581C6-36EB-F746-A856-C5F1E91ABC4C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F13" authorId="0" shapeId="0" xr:uid="{80E6A53F-2F69-1B4C-B27E-7972CAC241D5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G13" authorId="0" shapeId="0" xr:uid="{400AF760-2026-074B-8C15-085050BBC06C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H13" authorId="0" shapeId="0" xr:uid="{3342C69D-BC9E-4149-B641-9FC144260D9F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I13" authorId="0" shapeId="0" xr:uid="{F3783791-CE81-5B48-9476-476BEEA72E45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J13" authorId="0" shapeId="0" xr:uid="{4F6E8124-DAB2-1043-97DF-16E52604AA94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K13" authorId="0" shapeId="0" xr:uid="{A90A99FA-AE68-E94A-8B8C-C9C18AE16C24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L13" authorId="0" shapeId="0" xr:uid="{A40C8D27-03F0-9644-9D10-0429ED8E1ABE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M13" authorId="0" shapeId="0" xr:uid="{B2964C44-CE29-5347-9B98-85D83B298697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N13" authorId="0" shapeId="0" xr:uid="{561AAA3D-EFE2-8241-8463-93A3ABD4BA0F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O13" authorId="0" shapeId="0" xr:uid="{E7FE31B3-4F77-DD43-B050-51A19172B436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P13" authorId="0" shapeId="0" xr:uid="{99F3F514-F122-1645-B4A4-EA01C5937004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Q13" authorId="0" shapeId="0" xr:uid="{13D3BBD2-1AE2-A040-8BAB-91E20AD5CABB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R13" authorId="0" shapeId="0" xr:uid="{F8F5413E-DE4E-9645-A820-E6B097F55281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S13" authorId="0" shapeId="0" xr:uid="{F9D71694-0916-D944-82B1-0584EDF04CD9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T13" authorId="0" shapeId="0" xr:uid="{603F04FC-6B46-A647-9C4E-D5FA2CE9424F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U13" authorId="0" shapeId="0" xr:uid="{2BE0D27E-9018-3249-AEE0-2367E0379068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V13" authorId="0" shapeId="0" xr:uid="{43877CD3-7F23-3048-BD1A-46DC5888C236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Checkers pays 30 days after delivery month.</t>
        </r>
      </text>
    </comment>
    <comment ref="E21" authorId="0" shapeId="0" xr:uid="{44B0047A-8543-5244-9E6F-C3E6E9D10B5A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One-time legal/admin setup paid Jul 26.</t>
        </r>
      </text>
    </comment>
    <comment ref="K22" authorId="0" shapeId="0" xr:uid="{A62B35D5-A35F-3346-AE40-D5CA9B67CD55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L22" authorId="0" shapeId="0" xr:uid="{10B5DFF2-7588-E842-BC1A-855587F90598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M22" authorId="0" shapeId="0" xr:uid="{C28E2788-61A8-9542-94F7-40E5E6BBF77A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N22" authorId="0" shapeId="0" xr:uid="{4A2379C8-CFE0-FE4C-B78B-C9487BC73738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O22" authorId="0" shapeId="0" xr:uid="{78F5E06D-8F09-8044-8B1E-039BF883F4F4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P22" authorId="0" shapeId="0" xr:uid="{D1871347-2DE2-4149-BC36-7AEDA9170A66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Q22" authorId="0" shapeId="0" xr:uid="{EE923AA6-95D4-9146-9561-A95D99C77B2C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R22" authorId="0" shapeId="0" xr:uid="{9FE92EEF-F150-7D48-B889-09222912E930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S22" authorId="0" shapeId="0" xr:uid="{CF2AC5B0-2B07-FF42-9D82-33B83146400A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T22" authorId="0" shapeId="0" xr:uid="{C352768B-3DDF-6F48-8B6E-F5C49E7F0435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U22" authorId="0" shapeId="0" xr:uid="{595EEB7B-1412-0249-A5DB-C388385EF7F0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V22" authorId="0" shapeId="0" xr:uid="{91489774-B5DB-9B41-AA64-17ABE67F97C1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2027 monthly recurring RTD COGS payments (ex-tequila): steady-state cases × price × (total COGS% - tequila%).</t>
        </r>
      </text>
    </comment>
    <comment ref="C27" authorId="0" shapeId="0" xr:uid="{E25AAA18-17AE-7B47-B8E9-56CED0EB1278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Opening cash position = R547K tequila deposit paid + R182K customer upfronts for Jun 26 deliveries received in May.</t>
        </r>
      </text>
    </comment>
    <comment ref="W27" authorId="0" shapeId="0" xr:uid="{DC346EFA-F2B3-874D-8D7F-28434FE3FF09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Ending cash position Dec 27 (= V27).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Johannes Le Roux</author>
  </authors>
  <commentList>
    <comment ref="B11" authorId="0" shapeId="0" xr:uid="{7C7A245C-8EBF-F540-8B75-CF93E128E6F2}">
      <text>
        <r>
          <rPr>
            <b/>
            <sz val="10"/>
            <color rgb="FF000000"/>
            <rFont val="Tahoma"/>
            <family val="2"/>
          </rPr>
          <t>Johannes Le Roux:</t>
        </r>
        <r>
          <rPr>
            <sz val="10"/>
            <color rgb="FF000000"/>
            <rFont val="Tahoma"/>
            <family val="2"/>
          </rPr>
          <t xml:space="preserve">
The most negative cumulative cash position over the model period — i.e. peak cash needed before turning positive.</t>
        </r>
      </text>
    </comment>
  </commentList>
</comments>
</file>

<file path=xl/sharedStrings.xml><?xml version="1.0" encoding="utf-8"?>
<sst xmlns="http://schemas.openxmlformats.org/spreadsheetml/2006/main" count="161" uniqueCount="135">
  <si>
    <t>Already Paid</t>
  </si>
  <si>
    <t>TOTAL</t>
  </si>
  <si>
    <t>Bulk Tequila</t>
  </si>
  <si>
    <t>Bulk customer YoY growth (2027 vs 2026)</t>
  </si>
  <si>
    <t>RTD (Checkers)</t>
  </si>
  <si>
    <t>SKUs (Paloma, Margarita, Spicy Margarita)</t>
  </si>
  <si>
    <t>Cases per store per SKU (initial fill)</t>
  </si>
  <si>
    <t>Initial fill volume (cases)</t>
  </si>
  <si>
    <t>Steady-state monthly reorder (cases)</t>
  </si>
  <si>
    <t>Wholesale price per case (R)</t>
  </si>
  <si>
    <t>Payment terms</t>
  </si>
  <si>
    <t>30 days from statement</t>
  </si>
  <si>
    <t xml:space="preserve">  Packaging (cans, printing, pallets)</t>
  </si>
  <si>
    <t xml:space="preserve">  Distribution (FAL)</t>
  </si>
  <si>
    <t xml:space="preserve">  SARS Excise</t>
  </si>
  <si>
    <t>Total RTD COGS ratio</t>
  </si>
  <si>
    <t>Revenue — Fuego RTD</t>
  </si>
  <si>
    <t>Revenue — Cheeky</t>
  </si>
  <si>
    <t>Revenue — Spearhead</t>
  </si>
  <si>
    <t>Revenue — Nom</t>
  </si>
  <si>
    <t>Total Bulk Revenue</t>
  </si>
  <si>
    <t>Bulk COGS</t>
  </si>
  <si>
    <t>Bulk Gross Margin</t>
  </si>
  <si>
    <t>Bulk Gross Margin %</t>
  </si>
  <si>
    <t>Cases delivered</t>
  </si>
  <si>
    <t>Revenue — Checkers</t>
  </si>
  <si>
    <t xml:space="preserve">  COGS — Tequila</t>
  </si>
  <si>
    <t>Total RTD COGS</t>
  </si>
  <si>
    <t>RTD Gross Margin</t>
  </si>
  <si>
    <t>RTD Gross Margin %</t>
  </si>
  <si>
    <t>EBITDA</t>
  </si>
  <si>
    <t>EBITDA Margin %</t>
  </si>
  <si>
    <t xml:space="preserve">  Tequila stock purchases</t>
  </si>
  <si>
    <t xml:space="preserve">  Bron Pro</t>
  </si>
  <si>
    <t xml:space="preserve">  Sullwaldt printing</t>
  </si>
  <si>
    <t xml:space="preserve">  Tiny Keg cans</t>
  </si>
  <si>
    <t xml:space="preserve">  Chep pallets</t>
  </si>
  <si>
    <t xml:space="preserve">  FAL distribution</t>
  </si>
  <si>
    <t xml:space="preserve">  Tiny Keg production</t>
  </si>
  <si>
    <t>Combined monthly net cashflow</t>
  </si>
  <si>
    <t>Cumulative cash position</t>
  </si>
  <si>
    <t>Total gross margin</t>
  </si>
  <si>
    <t>Total EBITDA</t>
  </si>
  <si>
    <t>Tequila stock purchase, R/month</t>
  </si>
  <si>
    <t>Customer payment — upfront %</t>
  </si>
  <si>
    <t>Customer payment — on delivery %</t>
  </si>
  <si>
    <t>Bulk COGS ratio (% of revenue)</t>
  </si>
  <si>
    <t>Stores in Checkers PO</t>
  </si>
  <si>
    <t>RTD COGS build (% of revenue)</t>
  </si>
  <si>
    <t xml:space="preserve">  Tequila (allocation)</t>
  </si>
  <si>
    <t xml:space="preserve">  Co-pack production</t>
  </si>
  <si>
    <t>Operating Costs</t>
  </si>
  <si>
    <t>Legal &amp; admin, R/month</t>
  </si>
  <si>
    <t>Opening Cash</t>
  </si>
  <si>
    <t>Tequila deposit paid to date</t>
  </si>
  <si>
    <t>P&amp;L (ACCRUAL BASIS) — Tequila Project Model</t>
  </si>
  <si>
    <t>CASHFLOW (CASH BASIS) — Tequila Project Model</t>
  </si>
  <si>
    <t xml:space="preserve">  COGS — Packaging</t>
  </si>
  <si>
    <t xml:space="preserve">  COGS — Production</t>
  </si>
  <si>
    <t xml:space="preserve">  COGS — Distribution</t>
  </si>
  <si>
    <t xml:space="preserve">  COGS — Excise</t>
  </si>
  <si>
    <t>Combined</t>
  </si>
  <si>
    <t>Total Revenue</t>
  </si>
  <si>
    <t>Total COGS</t>
  </si>
  <si>
    <t>Total Gross Margin</t>
  </si>
  <si>
    <t>Gross Margin %</t>
  </si>
  <si>
    <t>Operating Costs (Legal/admin)</t>
  </si>
  <si>
    <t xml:space="preserve">  Receipts — 75% upfront (1 mo before delivery)</t>
  </si>
  <si>
    <t xml:space="preserve">  Receipts — 25% on delivery</t>
  </si>
  <si>
    <t xml:space="preserve">  Total bulk receipts</t>
  </si>
  <si>
    <t xml:space="preserve">  Net bulk cashflow</t>
  </si>
  <si>
    <t xml:space="preserve">  Checkers receipts (+30 days)</t>
  </si>
  <si>
    <t xml:space="preserve">  Legal/admin</t>
  </si>
  <si>
    <t xml:space="preserve">  Recurring RTD COGS (2027 ex-tequila)</t>
  </si>
  <si>
    <t xml:space="preserve">  Total RTD payments</t>
  </si>
  <si>
    <t xml:space="preserve">  Net RTD cashflow</t>
  </si>
  <si>
    <t>SUMMARY — Tequila Project Model</t>
  </si>
  <si>
    <t>P&amp;L Outputs (Jun 26 — Dec 27)</t>
  </si>
  <si>
    <t>Total revenue</t>
  </si>
  <si>
    <t>Gross margin %</t>
  </si>
  <si>
    <t>EBITDA margin %</t>
  </si>
  <si>
    <t>Cashflow</t>
  </si>
  <si>
    <t>Peak funding requirement</t>
  </si>
  <si>
    <t>Month of peak funding</t>
  </si>
  <si>
    <t>Ending cash position (Dec 27)</t>
  </si>
  <si>
    <t>Net cashflow over period</t>
  </si>
  <si>
    <t>Outstanding Receivables at Dec 27</t>
  </si>
  <si>
    <t>Checkers (Dec 27 RTD sale, paid Jan 28)</t>
  </si>
  <si>
    <t>ASSUMPTIONS — Tequila Project Model</t>
  </si>
  <si>
    <t>VALUATION — Tequila Project Model</t>
  </si>
  <si>
    <t>Key Operating Metrics (linked to model)</t>
  </si>
  <si>
    <t>2026 (Jun–Dec)</t>
  </si>
  <si>
    <t>2027 (Full Year)</t>
  </si>
  <si>
    <t>Total Period</t>
  </si>
  <si>
    <t>Gross Margin</t>
  </si>
  <si>
    <t>Run-rate (H2-2027 annualised)</t>
  </si>
  <si>
    <t>Revenue</t>
  </si>
  <si>
    <t>EBITDA %</t>
  </si>
  <si>
    <t>Run-rate (last 6mo × 2)</t>
  </si>
  <si>
    <t>Method 1: EBITDA Multiple (applied to 2027 EBITDA)</t>
  </si>
  <si>
    <t>Low</t>
  </si>
  <si>
    <t>Base</t>
  </si>
  <si>
    <t>High</t>
  </si>
  <si>
    <t>EV / EBITDA multiple</t>
  </si>
  <si>
    <t>2027 EBITDA</t>
  </si>
  <si>
    <t>Enterprise Value</t>
  </si>
  <si>
    <t>Note: SA premium spirits/early-stage RTD comps</t>
  </si>
  <si>
    <t>Method 2: Revenue Multiple (applied to 2027 Revenue)</t>
  </si>
  <si>
    <t>EV / Revenue multiple</t>
  </si>
  <si>
    <t>2027 Revenue</t>
  </si>
  <si>
    <t>Note: Early-stage premium spirits brands; reflects unproven scale</t>
  </si>
  <si>
    <t>Method 3: Simplified DCF (EBITDA proxy for cash, mid-year convention)</t>
  </si>
  <si>
    <t>WACC</t>
  </si>
  <si>
    <t>Exit EBITDA multiple (end of 2027)</t>
  </si>
  <si>
    <t>2026 EBITDA (H2)</t>
  </si>
  <si>
    <t>2027 EBITDA (FY)</t>
  </si>
  <si>
    <t>Terminal Value (2027 EBITDA × exit mult.)</t>
  </si>
  <si>
    <t>PV of 2026 EBITDA (discount 0.25y)</t>
  </si>
  <si>
    <t>PV of 2027 EBITDA (discount 1.0y)</t>
  </si>
  <si>
    <t>PV of Terminal Value (discount 1.5y)</t>
  </si>
  <si>
    <t>Enterprise Value (DCF)</t>
  </si>
  <si>
    <t>Note: EBITDA used as cash proxy (no D&amp;A; minimal capex). WACC reflects SA early-stage spirits risk.</t>
  </si>
  <si>
    <t>Valuation Summary — Enterprise Value Range</t>
  </si>
  <si>
    <t>EBITDA Multiple</t>
  </si>
  <si>
    <t>Revenue Multiple</t>
  </si>
  <si>
    <t>DCF</t>
  </si>
  <si>
    <t>Blended (avg of methods)</t>
  </si>
  <si>
    <t>Bridge to Equity Value</t>
  </si>
  <si>
    <t>Enterprise Value (blended)</t>
  </si>
  <si>
    <t>(+) Cash today</t>
  </si>
  <si>
    <t>(−) Debt today</t>
  </si>
  <si>
    <t>Equity Value</t>
  </si>
  <si>
    <t>Implied multiples (at Base Equity Value)</t>
  </si>
  <si>
    <t>Implied EV / 2027 Revenue</t>
  </si>
  <si>
    <t>Implied EV / 2027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</si>
</sst>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"/>
    <numFmt numFmtId="166" formatCode="0.0&quot;x&quot;"/>
    <numFmt numFmtId="167" formatCode="0.00&quot;x&quot;"/>
  </numFmts>
  <fonts count="22" x14ac:knownFonts="1">
    <font>
      <sz val="10"/>
      <color rgb="FF000000"/>
      <name val="Arial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Arial"/>
      <family val="2"/>
      <scheme val="minor"/>
    </font>
    <font>
      <sz val="10"/>
      <color rgb="FF008000"/>
      <name val="Arial"/>
      <family val="2"/>
      <scheme val="minor"/>
    </font>
    <font>
      <i/>
      <sz val="10"/>
      <color rgb="FF008000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6"/>
      <color rgb="FFEFE6CF"/>
      <name val="Arial"/>
      <family val="2"/>
      <scheme val="minor"/>
    </font>
    <font>
      <b/>
      <sz val="10"/>
      <color rgb="FFEFE6CF"/>
      <name val="Arial"/>
      <family val="2"/>
      <scheme val="minor"/>
    </font>
    <font>
      <b/>
      <sz val="11"/>
      <color rgb="FFEFE6CF"/>
      <name val="Arial"/>
      <family val="2"/>
      <scheme val="minor"/>
    </font>
    <font>
      <sz val="10"/>
      <color rgb="FF2E2620"/>
      <name val="Arial"/>
      <family val="2"/>
      <scheme val="minor"/>
    </font>
    <font>
      <b/>
      <sz val="10"/>
      <color rgb="FF2E2620"/>
      <name val="Arial"/>
      <family val="2"/>
      <scheme val="minor"/>
    </font>
    <font>
      <i/>
      <sz val="10"/>
      <color rgb="FF2E2620"/>
      <name val="Arial"/>
      <family val="2"/>
      <scheme val="minor"/>
    </font>
    <font>
      <b/>
      <sz val="11"/>
      <color rgb="FF2E2620"/>
      <name val="Arial"/>
      <family val="2"/>
      <scheme val="minor"/>
    </font>
    <font>
      <b/>
      <i/>
      <sz val="10"/>
      <color rgb="FF2E2620"/>
      <name val="Arial"/>
      <family val="2"/>
      <scheme val="minor"/>
    </font>
    <font>
      <b/>
      <i/>
      <sz val="10"/>
      <color rgb="FFEFE6CF"/>
      <name val="Arial"/>
      <family val="2"/>
      <scheme val="minor"/>
    </font>
    <font>
      <i/>
      <sz val="10"/>
      <color rgb="FFEFE6CF"/>
      <name val="Arial"/>
      <family val="2"/>
      <scheme val="minor"/>
    </font>
    <font>
      <sz val="10"/>
      <color rgb="FFEFE6CF"/>
      <name val="Arial"/>
      <family val="2"/>
      <scheme val="minor"/>
    </font>
    <font>
      <sz val="16"/>
      <color rgb="FFEFE6CF"/>
      <name val="Arial"/>
      <family val="2"/>
      <scheme val="minor"/>
    </font>
    <font>
      <sz val="11"/>
      <color rgb="FFEFE6CF"/>
      <name val="Arial"/>
      <family val="2"/>
      <scheme val="minor"/>
    </font>
    <font>
      <sz val="10"/>
      <color rgb="FF0000FF"/>
      <name val="Arial"/>
      <family val="2"/>
      <scheme val="minor"/>
    </font>
    <font>
      <i/>
      <sz val="9"/>
      <color rgb="FF2E262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A6B47"/>
        <bgColor indexed="64"/>
      </patternFill>
    </fill>
    <fill>
      <patternFill patternType="solid">
        <fgColor rgb="FFEFE6CF"/>
        <bgColor indexed="64"/>
      </patternFill>
    </fill>
    <fill>
      <patternFill patternType="solid">
        <fgColor rgb="FFC13B2D"/>
        <bgColor indexed="64"/>
      </patternFill>
    </fill>
    <fill>
      <patternFill patternType="solid">
        <fgColor rgb="FFF7F1E1"/>
        <bgColor indexed="64"/>
      </patternFill>
    </fill>
    <fill>
      <patternFill patternType="solid">
        <fgColor rgb="FFE8DCBE"/>
        <bgColor indexed="64"/>
      </patternFill>
    </fill>
    <fill>
      <patternFill patternType="solid">
        <fgColor rgb="FF5C7E58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4A6B47"/>
      </top>
      <bottom/>
      <diagonal/>
    </border>
    <border>
      <left/>
      <right/>
      <top/>
      <bottom style="medium">
        <color rgb="FF4A6B47"/>
      </bottom>
      <diagonal/>
    </border>
    <border>
      <left style="thin">
        <color rgb="FF4A6B47"/>
      </left>
      <right/>
      <top/>
      <bottom style="medium">
        <color rgb="FF4A6B47"/>
      </bottom>
      <diagonal/>
    </border>
    <border>
      <left style="thin">
        <color rgb="FF4A6B47"/>
      </left>
      <right/>
      <top/>
      <bottom/>
      <diagonal/>
    </border>
    <border>
      <left style="thin">
        <color rgb="FF4A6B47"/>
      </left>
      <right/>
      <top style="thin">
        <color rgb="FF4A6B47"/>
      </top>
      <bottom/>
      <diagonal/>
    </border>
    <border>
      <left/>
      <right/>
      <top style="thin">
        <color rgb="FF4A6B47"/>
      </top>
      <bottom style="medium">
        <color rgb="FF4A6B47"/>
      </bottom>
      <diagonal/>
    </border>
    <border>
      <left style="thin">
        <color rgb="FF4A6B47"/>
      </left>
      <right/>
      <top style="thin">
        <color rgb="FF4A6B47"/>
      </top>
      <bottom style="medium">
        <color rgb="FF4A6B47"/>
      </bottom>
      <diagonal/>
    </border>
  </borders>
  <cellStyleXfs count="1">
    <xf numFmtId="0" fontId="0" fillId="0" borderId="0"/>
  </cellStyleXfs>
  <cellXfs count="87">
    <xf numFmtId="0" fontId="0" fillId="0" borderId="0" xfId="0"/>
    <xf numFmtId="164" fontId="0" fillId="0" borderId="0" xfId="0" applyNumberFormat="1"/>
    <xf numFmtId="164" fontId="5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  <xf numFmtId="165" fontId="3" fillId="0" borderId="0" xfId="0" applyNumberFormat="1" applyFont="1"/>
    <xf numFmtId="3" fontId="4" fillId="0" borderId="0" xfId="0" applyNumberFormat="1" applyFont="1"/>
    <xf numFmtId="164" fontId="3" fillId="0" borderId="0" xfId="0" applyNumberFormat="1" applyFont="1"/>
    <xf numFmtId="0" fontId="0" fillId="3" borderId="0" xfId="0" applyFill="1"/>
    <xf numFmtId="0" fontId="8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/>
    </xf>
    <xf numFmtId="0" fontId="8" fillId="2" borderId="0" xfId="0" applyFont="1" applyFill="1"/>
    <xf numFmtId="0" fontId="8" fillId="4" borderId="0" xfId="0" applyFont="1" applyFill="1"/>
    <xf numFmtId="0" fontId="9" fillId="4" borderId="0" xfId="0" applyFont="1" applyFill="1"/>
    <xf numFmtId="0" fontId="9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1" fillId="6" borderId="0" xfId="0" applyFont="1" applyFill="1"/>
    <xf numFmtId="164" fontId="8" fillId="2" borderId="0" xfId="0" applyNumberFormat="1" applyFont="1" applyFill="1"/>
    <xf numFmtId="164" fontId="12" fillId="5" borderId="0" xfId="0" applyNumberFormat="1" applyFont="1" applyFill="1"/>
    <xf numFmtId="165" fontId="12" fillId="6" borderId="0" xfId="0" applyNumberFormat="1" applyFont="1" applyFill="1"/>
    <xf numFmtId="164" fontId="12" fillId="0" borderId="0" xfId="0" applyNumberFormat="1" applyFont="1"/>
    <xf numFmtId="0" fontId="12" fillId="6" borderId="0" xfId="0" applyFont="1" applyFill="1"/>
    <xf numFmtId="0" fontId="0" fillId="5" borderId="0" xfId="0" applyFill="1"/>
    <xf numFmtId="0" fontId="10" fillId="5" borderId="0" xfId="0" applyFont="1" applyFill="1"/>
    <xf numFmtId="164" fontId="10" fillId="5" borderId="0" xfId="0" applyNumberFormat="1" applyFont="1" applyFill="1"/>
    <xf numFmtId="3" fontId="10" fillId="5" borderId="0" xfId="0" applyNumberFormat="1" applyFont="1" applyFill="1"/>
    <xf numFmtId="0" fontId="3" fillId="5" borderId="0" xfId="0" applyFont="1" applyFill="1"/>
    <xf numFmtId="0" fontId="12" fillId="5" borderId="0" xfId="0" applyFont="1" applyFill="1"/>
    <xf numFmtId="0" fontId="0" fillId="3" borderId="1" xfId="0" applyFill="1" applyBorder="1"/>
    <xf numFmtId="0" fontId="11" fillId="5" borderId="1" xfId="0" applyFont="1" applyFill="1" applyBorder="1"/>
    <xf numFmtId="0" fontId="0" fillId="0" borderId="1" xfId="0" applyBorder="1"/>
    <xf numFmtId="164" fontId="11" fillId="5" borderId="1" xfId="0" applyNumberFormat="1" applyFont="1" applyFill="1" applyBorder="1"/>
    <xf numFmtId="0" fontId="14" fillId="5" borderId="1" xfId="0" applyFont="1" applyFill="1" applyBorder="1"/>
    <xf numFmtId="0" fontId="11" fillId="3" borderId="1" xfId="0" applyFont="1" applyFill="1" applyBorder="1"/>
    <xf numFmtId="0" fontId="11" fillId="6" borderId="1" xfId="0" applyFont="1" applyFill="1" applyBorder="1"/>
    <xf numFmtId="164" fontId="11" fillId="6" borderId="1" xfId="0" applyNumberFormat="1" applyFont="1" applyFill="1" applyBorder="1"/>
    <xf numFmtId="0" fontId="8" fillId="2" borderId="1" xfId="0" applyFont="1" applyFill="1" applyBorder="1"/>
    <xf numFmtId="0" fontId="15" fillId="2" borderId="1" xfId="0" applyFont="1" applyFill="1" applyBorder="1"/>
    <xf numFmtId="164" fontId="8" fillId="2" borderId="1" xfId="0" applyNumberFormat="1" applyFont="1" applyFill="1" applyBorder="1"/>
    <xf numFmtId="0" fontId="0" fillId="0" borderId="2" xfId="0" applyBorder="1"/>
    <xf numFmtId="0" fontId="16" fillId="7" borderId="2" xfId="0" applyFont="1" applyFill="1" applyBorder="1"/>
    <xf numFmtId="165" fontId="16" fillId="7" borderId="2" xfId="0" applyNumberFormat="1" applyFont="1" applyFill="1" applyBorder="1"/>
    <xf numFmtId="0" fontId="0" fillId="3" borderId="4" xfId="0" applyFill="1" applyBorder="1"/>
    <xf numFmtId="0" fontId="8" fillId="2" borderId="4" xfId="0" applyFont="1" applyFill="1" applyBorder="1" applyAlignment="1">
      <alignment horizontal="center"/>
    </xf>
    <xf numFmtId="0" fontId="11" fillId="5" borderId="4" xfId="0" applyFont="1" applyFill="1" applyBorder="1"/>
    <xf numFmtId="0" fontId="9" fillId="4" borderId="4" xfId="0" applyFont="1" applyFill="1" applyBorder="1" applyAlignment="1">
      <alignment vertical="center"/>
    </xf>
    <xf numFmtId="164" fontId="11" fillId="5" borderId="4" xfId="0" applyNumberFormat="1" applyFont="1" applyFill="1" applyBorder="1"/>
    <xf numFmtId="164" fontId="11" fillId="5" borderId="5" xfId="0" applyNumberFormat="1" applyFont="1" applyFill="1" applyBorder="1"/>
    <xf numFmtId="164" fontId="14" fillId="5" borderId="4" xfId="0" applyNumberFormat="1" applyFont="1" applyFill="1" applyBorder="1"/>
    <xf numFmtId="165" fontId="14" fillId="5" borderId="4" xfId="0" applyNumberFormat="1" applyFont="1" applyFill="1" applyBorder="1"/>
    <xf numFmtId="3" fontId="11" fillId="5" borderId="4" xfId="0" applyNumberFormat="1" applyFont="1" applyFill="1" applyBorder="1"/>
    <xf numFmtId="164" fontId="14" fillId="5" borderId="5" xfId="0" applyNumberFormat="1" applyFont="1" applyFill="1" applyBorder="1"/>
    <xf numFmtId="164" fontId="11" fillId="6" borderId="5" xfId="0" applyNumberFormat="1" applyFont="1" applyFill="1" applyBorder="1"/>
    <xf numFmtId="165" fontId="14" fillId="6" borderId="4" xfId="0" applyNumberFormat="1" applyFont="1" applyFill="1" applyBorder="1"/>
    <xf numFmtId="164" fontId="8" fillId="2" borderId="5" xfId="0" applyNumberFormat="1" applyFont="1" applyFill="1" applyBorder="1"/>
    <xf numFmtId="165" fontId="15" fillId="7" borderId="3" xfId="0" applyNumberFormat="1" applyFont="1" applyFill="1" applyBorder="1"/>
    <xf numFmtId="0" fontId="8" fillId="2" borderId="6" xfId="0" applyFont="1" applyFill="1" applyBorder="1"/>
    <xf numFmtId="164" fontId="8" fillId="2" borderId="6" xfId="0" applyNumberFormat="1" applyFont="1" applyFill="1" applyBorder="1"/>
    <xf numFmtId="0" fontId="9" fillId="4" borderId="4" xfId="0" applyFont="1" applyFill="1" applyBorder="1"/>
    <xf numFmtId="164" fontId="8" fillId="2" borderId="7" xfId="0" applyNumberFormat="1" applyFont="1" applyFill="1" applyBorder="1"/>
    <xf numFmtId="9" fontId="10" fillId="5" borderId="0" xfId="0" applyNumberFormat="1" applyFont="1" applyFill="1"/>
    <xf numFmtId="4" fontId="10" fillId="5" borderId="0" xfId="0" applyNumberFormat="1" applyFont="1" applyFill="1"/>
    <xf numFmtId="0" fontId="9" fillId="4" borderId="1" xfId="0" applyFont="1" applyFill="1" applyBorder="1"/>
    <xf numFmtId="9" fontId="11" fillId="6" borderId="1" xfId="0" applyNumberFormat="1" applyFont="1" applyFill="1" applyBorder="1"/>
    <xf numFmtId="165" fontId="10" fillId="5" borderId="0" xfId="0" applyNumberFormat="1" applyFont="1" applyFill="1"/>
    <xf numFmtId="165" fontId="8" fillId="2" borderId="0" xfId="0" applyNumberFormat="1" applyFont="1" applyFill="1"/>
    <xf numFmtId="164" fontId="8" fillId="4" borderId="0" xfId="0" applyNumberFormat="1" applyFont="1" applyFill="1"/>
    <xf numFmtId="17" fontId="11" fillId="6" borderId="0" xfId="0" applyNumberFormat="1" applyFont="1" applyFill="1"/>
    <xf numFmtId="0" fontId="7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0" fillId="2" borderId="0" xfId="0" applyFill="1"/>
    <xf numFmtId="0" fontId="19" fillId="4" borderId="0" xfId="0" applyFont="1" applyFill="1"/>
    <xf numFmtId="0" fontId="17" fillId="4" borderId="0" xfId="0" applyFont="1" applyFill="1" applyAlignment="1">
      <alignment horizontal="right"/>
    </xf>
    <xf numFmtId="0" fontId="17" fillId="2" borderId="0" xfId="0" applyFont="1" applyFill="1"/>
    <xf numFmtId="164" fontId="17" fillId="2" borderId="0" xfId="0" applyNumberFormat="1" applyFont="1" applyFill="1"/>
    <xf numFmtId="165" fontId="17" fillId="2" borderId="0" xfId="0" applyNumberFormat="1" applyFont="1" applyFill="1"/>
    <xf numFmtId="0" fontId="12" fillId="6" borderId="0" xfId="0" applyFont="1" applyFill="1" applyAlignment="1">
      <alignment horizontal="right"/>
    </xf>
    <xf numFmtId="166" fontId="20" fillId="8" borderId="0" xfId="0" applyNumberFormat="1" applyFont="1" applyFill="1" applyAlignment="1">
      <alignment horizontal="right"/>
    </xf>
    <xf numFmtId="164" fontId="4" fillId="5" borderId="0" xfId="0" applyNumberFormat="1" applyFont="1" applyFill="1"/>
    <xf numFmtId="0" fontId="21" fillId="5" borderId="0" xfId="0" applyFont="1" applyFill="1"/>
    <xf numFmtId="165" fontId="20" fillId="8" borderId="0" xfId="0" applyNumberFormat="1" applyFont="1" applyFill="1" applyAlignment="1">
      <alignment horizontal="right"/>
    </xf>
    <xf numFmtId="164" fontId="20" fillId="8" borderId="0" xfId="0" applyNumberFormat="1" applyFont="1" applyFill="1"/>
    <xf numFmtId="0" fontId="19" fillId="2" borderId="0" xfId="0" applyFont="1" applyFill="1"/>
    <xf numFmtId="164" fontId="19" fillId="2" borderId="0" xfId="0" applyNumberFormat="1" applyFont="1" applyFill="1"/>
    <xf numFmtId="167" fontId="10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F5B0B1-C513-A94B-9E91-89DF4F6B8B3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b3fdacb-05cf-45bb-b656-7bb4d673254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48C5-20E1-4744-9499-BC9060D437DF}">
  <sheetPr>
    <tabColor rgb="FF4A6B47"/>
  </sheetPr>
  <dimension ref="A1:B31"/>
  <sheetViews>
    <sheetView topLeftCell="A3" workbookViewId="0">
      <selection activeCell="B16" sqref="B16"/>
    </sheetView>
  </sheetViews>
  <sheetFormatPr baseColWidth="10" defaultRowHeight="13" x14ac:dyDescent="0.15"/>
  <cols>
    <col min="1" max="1" width="53.33203125" customWidth="1"/>
    <col min="2" max="2" width="21.6640625" customWidth="1"/>
  </cols>
  <sheetData>
    <row r="1" spans="1:2" ht="32" customHeight="1" x14ac:dyDescent="0.15">
      <c r="A1" s="69" t="s">
        <v>88</v>
      </c>
      <c r="B1" s="69"/>
    </row>
    <row r="2" spans="1:2" ht="6" customHeight="1" x14ac:dyDescent="0.15">
      <c r="A2" s="9"/>
      <c r="B2" s="9"/>
    </row>
    <row r="3" spans="1:2" ht="22" customHeight="1" x14ac:dyDescent="0.15">
      <c r="A3" s="63" t="s">
        <v>2</v>
      </c>
      <c r="B3" s="63"/>
    </row>
    <row r="4" spans="1:2" x14ac:dyDescent="0.15">
      <c r="A4" s="24" t="s">
        <v>43</v>
      </c>
      <c r="B4" s="25">
        <v>500000</v>
      </c>
    </row>
    <row r="5" spans="1:2" x14ac:dyDescent="0.15">
      <c r="A5" s="24" t="s">
        <v>44</v>
      </c>
      <c r="B5" s="61">
        <v>0.75</v>
      </c>
    </row>
    <row r="6" spans="1:2" x14ac:dyDescent="0.15">
      <c r="A6" s="24" t="s">
        <v>45</v>
      </c>
      <c r="B6" s="61">
        <v>0.25</v>
      </c>
    </row>
    <row r="7" spans="1:2" x14ac:dyDescent="0.15">
      <c r="A7" s="24" t="s">
        <v>3</v>
      </c>
      <c r="B7" s="61">
        <v>0.3</v>
      </c>
    </row>
    <row r="8" spans="1:2" x14ac:dyDescent="0.15">
      <c r="A8" s="24" t="s">
        <v>46</v>
      </c>
      <c r="B8" s="61">
        <v>0.72</v>
      </c>
    </row>
    <row r="9" spans="1:2" x14ac:dyDescent="0.15">
      <c r="A9" s="24"/>
      <c r="B9" s="24"/>
    </row>
    <row r="10" spans="1:2" ht="22" customHeight="1" x14ac:dyDescent="0.15">
      <c r="A10" s="63" t="s">
        <v>4</v>
      </c>
      <c r="B10" s="63"/>
    </row>
    <row r="11" spans="1:2" x14ac:dyDescent="0.15">
      <c r="A11" s="24" t="s">
        <v>47</v>
      </c>
      <c r="B11" s="26">
        <v>300</v>
      </c>
    </row>
    <row r="12" spans="1:2" x14ac:dyDescent="0.15">
      <c r="A12" s="24" t="s">
        <v>5</v>
      </c>
      <c r="B12" s="26">
        <v>3</v>
      </c>
    </row>
    <row r="13" spans="1:2" x14ac:dyDescent="0.15">
      <c r="A13" s="24" t="s">
        <v>6</v>
      </c>
      <c r="B13" s="26">
        <v>3</v>
      </c>
    </row>
    <row r="14" spans="1:2" x14ac:dyDescent="0.15">
      <c r="A14" s="24" t="s">
        <v>7</v>
      </c>
      <c r="B14" s="26">
        <f>B11*B12*B13</f>
        <v>2700</v>
      </c>
    </row>
    <row r="15" spans="1:2" x14ac:dyDescent="0.15">
      <c r="A15" s="24" t="s">
        <v>8</v>
      </c>
      <c r="B15" s="26">
        <v>600</v>
      </c>
    </row>
    <row r="16" spans="1:2" x14ac:dyDescent="0.15">
      <c r="A16" s="24" t="s">
        <v>9</v>
      </c>
      <c r="B16" s="62">
        <f>2287000/B14</f>
        <v>847.03703703703707</v>
      </c>
    </row>
    <row r="17" spans="1:2" x14ac:dyDescent="0.15">
      <c r="A17" s="24" t="s">
        <v>10</v>
      </c>
      <c r="B17" s="24" t="s">
        <v>11</v>
      </c>
    </row>
    <row r="18" spans="1:2" x14ac:dyDescent="0.15">
      <c r="A18" s="24"/>
      <c r="B18" s="24"/>
    </row>
    <row r="19" spans="1:2" ht="22" customHeight="1" x14ac:dyDescent="0.15">
      <c r="A19" s="63" t="s">
        <v>48</v>
      </c>
      <c r="B19" s="63"/>
    </row>
    <row r="20" spans="1:2" x14ac:dyDescent="0.15">
      <c r="A20" s="24" t="s">
        <v>49</v>
      </c>
      <c r="B20" s="61">
        <v>0.18</v>
      </c>
    </row>
    <row r="21" spans="1:2" x14ac:dyDescent="0.15">
      <c r="A21" s="24" t="s">
        <v>12</v>
      </c>
      <c r="B21" s="61">
        <v>0.16</v>
      </c>
    </row>
    <row r="22" spans="1:2" x14ac:dyDescent="0.15">
      <c r="A22" s="24" t="s">
        <v>50</v>
      </c>
      <c r="B22" s="61">
        <v>0.12</v>
      </c>
    </row>
    <row r="23" spans="1:2" x14ac:dyDescent="0.15">
      <c r="A23" s="24" t="s">
        <v>13</v>
      </c>
      <c r="B23" s="61">
        <v>0.04</v>
      </c>
    </row>
    <row r="24" spans="1:2" x14ac:dyDescent="0.15">
      <c r="A24" s="24" t="s">
        <v>14</v>
      </c>
      <c r="B24" s="61">
        <v>0.2</v>
      </c>
    </row>
    <row r="25" spans="1:2" x14ac:dyDescent="0.15">
      <c r="A25" s="35" t="s">
        <v>15</v>
      </c>
      <c r="B25" s="64">
        <f>SUM(B20:B24)</f>
        <v>0.7</v>
      </c>
    </row>
    <row r="26" spans="1:2" x14ac:dyDescent="0.15">
      <c r="A26" s="24"/>
      <c r="B26" s="24"/>
    </row>
    <row r="27" spans="1:2" ht="22" customHeight="1" x14ac:dyDescent="0.15">
      <c r="A27" s="63" t="s">
        <v>51</v>
      </c>
      <c r="B27" s="63"/>
    </row>
    <row r="28" spans="1:2" x14ac:dyDescent="0.15">
      <c r="A28" s="24" t="s">
        <v>52</v>
      </c>
      <c r="B28" s="25">
        <v>10000</v>
      </c>
    </row>
    <row r="29" spans="1:2" x14ac:dyDescent="0.15">
      <c r="A29" s="24"/>
      <c r="B29" s="24"/>
    </row>
    <row r="30" spans="1:2" ht="22" customHeight="1" x14ac:dyDescent="0.15">
      <c r="A30" s="63" t="s">
        <v>53</v>
      </c>
      <c r="B30" s="63"/>
    </row>
    <row r="31" spans="1:2" x14ac:dyDescent="0.15">
      <c r="A31" s="24" t="s">
        <v>54</v>
      </c>
      <c r="B31" s="25">
        <v>-547000</v>
      </c>
    </row>
  </sheetData>
  <mergeCells count="1">
    <mergeCell ref="A1:B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6CBC-F8C2-AC47-A59A-FD92405ABD5F}">
  <sheetPr>
    <tabColor rgb="FF4A6B47"/>
  </sheetPr>
  <dimension ref="A1:W3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6" sqref="B16"/>
    </sheetView>
  </sheetViews>
  <sheetFormatPr baseColWidth="10" defaultRowHeight="13" x14ac:dyDescent="0.15"/>
  <cols>
    <col min="1" max="1" width="3" customWidth="1"/>
    <col min="2" max="2" width="32.5" customWidth="1"/>
    <col min="3" max="3" width="13.33203125" customWidth="1"/>
    <col min="4" max="22" width="13" customWidth="1"/>
    <col min="23" max="23" width="15.83203125" customWidth="1"/>
  </cols>
  <sheetData>
    <row r="1" spans="1:23" ht="32" customHeight="1" x14ac:dyDescent="0.15">
      <c r="A1" s="69" t="s">
        <v>55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70"/>
    </row>
    <row r="2" spans="1:23" ht="6" customHeight="1" x14ac:dyDescent="0.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43"/>
    </row>
    <row r="3" spans="1:23" ht="22" customHeight="1" x14ac:dyDescent="0.15">
      <c r="A3" s="10"/>
      <c r="B3" s="10"/>
      <c r="C3" s="10" t="s">
        <v>0</v>
      </c>
      <c r="D3" s="11">
        <v>46174</v>
      </c>
      <c r="E3" s="11">
        <v>46204</v>
      </c>
      <c r="F3" s="11">
        <v>46235</v>
      </c>
      <c r="G3" s="11">
        <v>46266</v>
      </c>
      <c r="H3" s="11">
        <v>46296</v>
      </c>
      <c r="I3" s="11">
        <v>46327</v>
      </c>
      <c r="J3" s="11">
        <v>46357</v>
      </c>
      <c r="K3" s="11">
        <v>46388</v>
      </c>
      <c r="L3" s="11">
        <v>46419</v>
      </c>
      <c r="M3" s="11">
        <v>46447</v>
      </c>
      <c r="N3" s="11">
        <v>46478</v>
      </c>
      <c r="O3" s="11">
        <v>46508</v>
      </c>
      <c r="P3" s="11">
        <v>46539</v>
      </c>
      <c r="Q3" s="11">
        <v>46569</v>
      </c>
      <c r="R3" s="11">
        <v>46600</v>
      </c>
      <c r="S3" s="11">
        <v>46631</v>
      </c>
      <c r="T3" s="11">
        <v>46661</v>
      </c>
      <c r="U3" s="11">
        <v>46692</v>
      </c>
      <c r="V3" s="11">
        <v>46722</v>
      </c>
      <c r="W3" s="44" t="s">
        <v>1</v>
      </c>
    </row>
    <row r="4" spans="1:23" ht="4" customHeight="1" x14ac:dyDescent="0.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45"/>
    </row>
    <row r="5" spans="1:23" ht="22" customHeight="1" x14ac:dyDescent="0.15">
      <c r="A5" s="15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46"/>
    </row>
    <row r="6" spans="1:23" x14ac:dyDescent="0.15">
      <c r="A6" s="9"/>
      <c r="B6" s="24" t="s">
        <v>16</v>
      </c>
      <c r="D6" s="4">
        <v>242000</v>
      </c>
      <c r="F6" s="4">
        <v>242000</v>
      </c>
      <c r="J6" s="4">
        <v>363000</v>
      </c>
      <c r="K6" s="3">
        <f>D6*(1+Assumptions!$B$7)</f>
        <v>314600</v>
      </c>
      <c r="N6" s="3">
        <f>F6*(1+Assumptions!$B$7)</f>
        <v>314600</v>
      </c>
      <c r="P6" s="3">
        <f>D6*(1+Assumptions!$B$7)</f>
        <v>314600</v>
      </c>
      <c r="R6" s="3">
        <f>F6*(1+Assumptions!$B$7)</f>
        <v>314600</v>
      </c>
      <c r="V6" s="3">
        <f>J6*(1+Assumptions!$B$7)</f>
        <v>471900</v>
      </c>
      <c r="W6" s="47">
        <f t="shared" ref="W6:W12" si="0">SUM(D6:V6)</f>
        <v>2577300</v>
      </c>
    </row>
    <row r="7" spans="1:23" x14ac:dyDescent="0.15">
      <c r="A7" s="9"/>
      <c r="B7" s="24" t="s">
        <v>17</v>
      </c>
      <c r="F7" s="4">
        <v>453750</v>
      </c>
      <c r="G7" s="4">
        <v>453750</v>
      </c>
      <c r="I7" s="4">
        <v>907500</v>
      </c>
      <c r="K7" s="3">
        <f>F7*(1+Assumptions!$B$7)</f>
        <v>589875</v>
      </c>
      <c r="M7" s="3">
        <f>G7*(1+Assumptions!$B$7)</f>
        <v>589875</v>
      </c>
      <c r="R7" s="3">
        <f>F7*(1+Assumptions!$B$7)</f>
        <v>589875</v>
      </c>
      <c r="S7" s="3">
        <f>G7*(1+Assumptions!$B$7)</f>
        <v>589875</v>
      </c>
      <c r="U7" s="3">
        <f>I7*(1+Assumptions!$B$7)</f>
        <v>1179750</v>
      </c>
      <c r="W7" s="47">
        <f t="shared" si="0"/>
        <v>5354250</v>
      </c>
    </row>
    <row r="8" spans="1:23" x14ac:dyDescent="0.15">
      <c r="A8" s="9"/>
      <c r="B8" s="24" t="s">
        <v>18</v>
      </c>
      <c r="E8" s="4">
        <v>369770</v>
      </c>
      <c r="H8" s="4">
        <v>184885</v>
      </c>
      <c r="L8" s="3">
        <f>E8*(1+Assumptions!$B$7)</f>
        <v>480701</v>
      </c>
      <c r="O8" s="3">
        <f>H8*(1+Assumptions!$B$7)</f>
        <v>240350.5</v>
      </c>
      <c r="Q8" s="3">
        <f>E8*(1+Assumptions!$B$7)</f>
        <v>480701</v>
      </c>
      <c r="T8" s="3">
        <f>H8*(1+Assumptions!$B$7)</f>
        <v>240350.5</v>
      </c>
      <c r="W8" s="47">
        <f t="shared" si="0"/>
        <v>1996758</v>
      </c>
    </row>
    <row r="9" spans="1:23" x14ac:dyDescent="0.15">
      <c r="A9" s="9"/>
      <c r="B9" s="24" t="s">
        <v>19</v>
      </c>
      <c r="O9" s="4">
        <v>200000</v>
      </c>
      <c r="S9" s="4">
        <v>250000</v>
      </c>
      <c r="V9" s="4">
        <v>300000</v>
      </c>
      <c r="W9" s="47">
        <f t="shared" si="0"/>
        <v>750000</v>
      </c>
    </row>
    <row r="10" spans="1:23" x14ac:dyDescent="0.15">
      <c r="A10" s="29"/>
      <c r="B10" s="30" t="s">
        <v>20</v>
      </c>
      <c r="C10" s="31"/>
      <c r="D10" s="32">
        <f>SUM(D6:D9)</f>
        <v>242000</v>
      </c>
      <c r="E10" s="32">
        <f t="shared" ref="E10:V10" si="1">SUM(E6:E9)</f>
        <v>369770</v>
      </c>
      <c r="F10" s="32">
        <f t="shared" si="1"/>
        <v>695750</v>
      </c>
      <c r="G10" s="32">
        <f t="shared" si="1"/>
        <v>453750</v>
      </c>
      <c r="H10" s="32">
        <f t="shared" si="1"/>
        <v>184885</v>
      </c>
      <c r="I10" s="32">
        <f t="shared" si="1"/>
        <v>907500</v>
      </c>
      <c r="J10" s="32">
        <f t="shared" si="1"/>
        <v>363000</v>
      </c>
      <c r="K10" s="32">
        <f t="shared" si="1"/>
        <v>904475</v>
      </c>
      <c r="L10" s="32">
        <f t="shared" si="1"/>
        <v>480701</v>
      </c>
      <c r="M10" s="32">
        <f t="shared" si="1"/>
        <v>589875</v>
      </c>
      <c r="N10" s="32">
        <f t="shared" si="1"/>
        <v>314600</v>
      </c>
      <c r="O10" s="32">
        <f t="shared" si="1"/>
        <v>440350.5</v>
      </c>
      <c r="P10" s="32">
        <f t="shared" si="1"/>
        <v>314600</v>
      </c>
      <c r="Q10" s="32">
        <f t="shared" si="1"/>
        <v>480701</v>
      </c>
      <c r="R10" s="32">
        <f t="shared" si="1"/>
        <v>904475</v>
      </c>
      <c r="S10" s="32">
        <f t="shared" si="1"/>
        <v>839875</v>
      </c>
      <c r="T10" s="32">
        <f t="shared" si="1"/>
        <v>240350.5</v>
      </c>
      <c r="U10" s="32">
        <f t="shared" si="1"/>
        <v>1179750</v>
      </c>
      <c r="V10" s="32">
        <f t="shared" si="1"/>
        <v>771900</v>
      </c>
      <c r="W10" s="48">
        <f t="shared" si="0"/>
        <v>10678308</v>
      </c>
    </row>
    <row r="11" spans="1:23" x14ac:dyDescent="0.15">
      <c r="A11" s="9"/>
      <c r="B11" s="27" t="s">
        <v>21</v>
      </c>
      <c r="D11" s="2">
        <f>-D10*Assumptions!$B$8</f>
        <v>-174240</v>
      </c>
      <c r="E11" s="2">
        <f>-E10*Assumptions!$B$8</f>
        <v>-266234.39999999997</v>
      </c>
      <c r="F11" s="2">
        <f>-F10*Assumptions!$B$8</f>
        <v>-500940</v>
      </c>
      <c r="G11" s="2">
        <f>-G10*Assumptions!$B$8</f>
        <v>-326700</v>
      </c>
      <c r="H11" s="2">
        <f>-H10*Assumptions!$B$8</f>
        <v>-133117.19999999998</v>
      </c>
      <c r="I11" s="2">
        <f>-I10*Assumptions!$B$8</f>
        <v>-653400</v>
      </c>
      <c r="J11" s="2">
        <f>-J10*Assumptions!$B$8</f>
        <v>-261360</v>
      </c>
      <c r="K11" s="2">
        <f>-K10*Assumptions!$B$8</f>
        <v>-651222</v>
      </c>
      <c r="L11" s="2">
        <f>-L10*Assumptions!$B$8</f>
        <v>-346104.72</v>
      </c>
      <c r="M11" s="2">
        <f>-M10*Assumptions!$B$8</f>
        <v>-424710</v>
      </c>
      <c r="N11" s="2">
        <f>-N10*Assumptions!$B$8</f>
        <v>-226512</v>
      </c>
      <c r="O11" s="2">
        <f>-O10*Assumptions!$B$8</f>
        <v>-317052.36</v>
      </c>
      <c r="P11" s="2">
        <f>-P10*Assumptions!$B$8</f>
        <v>-226512</v>
      </c>
      <c r="Q11" s="2">
        <f>-Q10*Assumptions!$B$8</f>
        <v>-346104.72</v>
      </c>
      <c r="R11" s="2">
        <f>-R10*Assumptions!$B$8</f>
        <v>-651222</v>
      </c>
      <c r="S11" s="2">
        <f>-S10*Assumptions!$B$8</f>
        <v>-604710</v>
      </c>
      <c r="T11" s="2">
        <f>-T10*Assumptions!$B$8</f>
        <v>-173052.36</v>
      </c>
      <c r="U11" s="2">
        <f>-U10*Assumptions!$B$8</f>
        <v>-849420</v>
      </c>
      <c r="V11" s="2">
        <f>-V10*Assumptions!$B$8</f>
        <v>-555768</v>
      </c>
      <c r="W11" s="49">
        <f t="shared" si="0"/>
        <v>-7688381.7599999998</v>
      </c>
    </row>
    <row r="12" spans="1:23" x14ac:dyDescent="0.15">
      <c r="A12" s="29"/>
      <c r="B12" s="30" t="s">
        <v>22</v>
      </c>
      <c r="C12" s="31"/>
      <c r="D12" s="32">
        <f>D10+D11</f>
        <v>67760</v>
      </c>
      <c r="E12" s="32">
        <f t="shared" ref="E12:V12" si="2">E10+E11</f>
        <v>103535.60000000003</v>
      </c>
      <c r="F12" s="32">
        <f t="shared" si="2"/>
        <v>194810</v>
      </c>
      <c r="G12" s="32">
        <f t="shared" si="2"/>
        <v>127050</v>
      </c>
      <c r="H12" s="32">
        <f t="shared" si="2"/>
        <v>51767.800000000017</v>
      </c>
      <c r="I12" s="32">
        <f t="shared" si="2"/>
        <v>254100</v>
      </c>
      <c r="J12" s="32">
        <f t="shared" si="2"/>
        <v>101640</v>
      </c>
      <c r="K12" s="32">
        <f t="shared" si="2"/>
        <v>253253</v>
      </c>
      <c r="L12" s="32">
        <f t="shared" si="2"/>
        <v>134596.28000000003</v>
      </c>
      <c r="M12" s="32">
        <f t="shared" si="2"/>
        <v>165165</v>
      </c>
      <c r="N12" s="32">
        <f t="shared" si="2"/>
        <v>88088</v>
      </c>
      <c r="O12" s="32">
        <f t="shared" si="2"/>
        <v>123298.14000000001</v>
      </c>
      <c r="P12" s="32">
        <f t="shared" si="2"/>
        <v>88088</v>
      </c>
      <c r="Q12" s="32">
        <f t="shared" si="2"/>
        <v>134596.28000000003</v>
      </c>
      <c r="R12" s="32">
        <f t="shared" si="2"/>
        <v>253253</v>
      </c>
      <c r="S12" s="32">
        <f t="shared" si="2"/>
        <v>235165</v>
      </c>
      <c r="T12" s="32">
        <f t="shared" si="2"/>
        <v>67298.140000000014</v>
      </c>
      <c r="U12" s="32">
        <f t="shared" si="2"/>
        <v>330330</v>
      </c>
      <c r="V12" s="32">
        <f t="shared" si="2"/>
        <v>216132</v>
      </c>
      <c r="W12" s="48">
        <f t="shared" si="0"/>
        <v>2989926.2399999998</v>
      </c>
    </row>
    <row r="13" spans="1:23" x14ac:dyDescent="0.15">
      <c r="A13" s="9"/>
      <c r="B13" s="28" t="s">
        <v>23</v>
      </c>
      <c r="D13" s="6">
        <f>IFERROR(D12/D10,0)</f>
        <v>0.28000000000000003</v>
      </c>
      <c r="E13" s="6">
        <f t="shared" ref="E13:V13" si="3">IFERROR(E12/E10,0)</f>
        <v>0.28000000000000008</v>
      </c>
      <c r="F13" s="6">
        <f t="shared" si="3"/>
        <v>0.28000000000000003</v>
      </c>
      <c r="G13" s="6">
        <f t="shared" si="3"/>
        <v>0.28000000000000003</v>
      </c>
      <c r="H13" s="6">
        <f t="shared" si="3"/>
        <v>0.28000000000000008</v>
      </c>
      <c r="I13" s="6">
        <f t="shared" si="3"/>
        <v>0.28000000000000003</v>
      </c>
      <c r="J13" s="6">
        <f t="shared" si="3"/>
        <v>0.28000000000000003</v>
      </c>
      <c r="K13" s="6">
        <f t="shared" si="3"/>
        <v>0.28000000000000003</v>
      </c>
      <c r="L13" s="6">
        <f t="shared" si="3"/>
        <v>0.28000000000000008</v>
      </c>
      <c r="M13" s="6">
        <f t="shared" si="3"/>
        <v>0.28000000000000003</v>
      </c>
      <c r="N13" s="6">
        <f t="shared" si="3"/>
        <v>0.28000000000000003</v>
      </c>
      <c r="O13" s="6">
        <f t="shared" si="3"/>
        <v>0.28000000000000003</v>
      </c>
      <c r="P13" s="6">
        <f t="shared" si="3"/>
        <v>0.28000000000000003</v>
      </c>
      <c r="Q13" s="6">
        <f t="shared" si="3"/>
        <v>0.28000000000000008</v>
      </c>
      <c r="R13" s="6">
        <f t="shared" si="3"/>
        <v>0.28000000000000003</v>
      </c>
      <c r="S13" s="6">
        <f t="shared" si="3"/>
        <v>0.28000000000000003</v>
      </c>
      <c r="T13" s="6">
        <f t="shared" si="3"/>
        <v>0.28000000000000008</v>
      </c>
      <c r="U13" s="6">
        <f t="shared" si="3"/>
        <v>0.28000000000000003</v>
      </c>
      <c r="V13" s="6">
        <f t="shared" si="3"/>
        <v>0.28000000000000003</v>
      </c>
      <c r="W13" s="50">
        <f>IFERROR(W12/W10,0)</f>
        <v>0.27999999999999997</v>
      </c>
    </row>
    <row r="14" spans="1:23" x14ac:dyDescent="0.15">
      <c r="A14" s="9"/>
      <c r="B14" s="23"/>
      <c r="W14" s="45"/>
    </row>
    <row r="15" spans="1:23" ht="22" customHeight="1" x14ac:dyDescent="0.15">
      <c r="A15" s="15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46"/>
    </row>
    <row r="16" spans="1:23" x14ac:dyDescent="0.15">
      <c r="A16" s="9"/>
      <c r="B16" s="24" t="s">
        <v>24</v>
      </c>
      <c r="F16" s="7">
        <f>Assumptions!$B$14</f>
        <v>2700</v>
      </c>
      <c r="H16" s="5">
        <v>1050</v>
      </c>
      <c r="I16" s="7">
        <f>Assumptions!$B$15</f>
        <v>600</v>
      </c>
      <c r="J16" s="7">
        <f>Assumptions!$B$15</f>
        <v>600</v>
      </c>
      <c r="K16" s="7">
        <f>Assumptions!$B$15</f>
        <v>600</v>
      </c>
      <c r="L16" s="7">
        <f>Assumptions!$B$15</f>
        <v>600</v>
      </c>
      <c r="M16" s="7">
        <f>Assumptions!$B$15</f>
        <v>600</v>
      </c>
      <c r="N16" s="7">
        <f>Assumptions!$B$15</f>
        <v>600</v>
      </c>
      <c r="O16" s="7">
        <f>Assumptions!$B$15</f>
        <v>600</v>
      </c>
      <c r="P16" s="7">
        <f>Assumptions!$B$15</f>
        <v>600</v>
      </c>
      <c r="Q16" s="7">
        <f>Assumptions!$B$15</f>
        <v>600</v>
      </c>
      <c r="R16" s="7">
        <f>Assumptions!$B$15</f>
        <v>600</v>
      </c>
      <c r="S16" s="7">
        <f>Assumptions!$B$15</f>
        <v>600</v>
      </c>
      <c r="T16" s="7">
        <f>Assumptions!$B$15</f>
        <v>600</v>
      </c>
      <c r="U16" s="7">
        <f>Assumptions!$B$15</f>
        <v>600</v>
      </c>
      <c r="V16" s="7">
        <f>Assumptions!$B$15</f>
        <v>600</v>
      </c>
      <c r="W16" s="51">
        <f t="shared" ref="W16:W24" si="4">SUM(D16:V16)</f>
        <v>12150</v>
      </c>
    </row>
    <row r="17" spans="1:23" x14ac:dyDescent="0.15">
      <c r="A17" s="29"/>
      <c r="B17" s="30" t="s">
        <v>25</v>
      </c>
      <c r="C17" s="31"/>
      <c r="D17" s="32">
        <f>D16*Assumptions!$B$16</f>
        <v>0</v>
      </c>
      <c r="E17" s="32">
        <f>E16*Assumptions!$B$16</f>
        <v>0</v>
      </c>
      <c r="F17" s="32">
        <f>F16*Assumptions!$B$16</f>
        <v>2287000</v>
      </c>
      <c r="G17" s="32">
        <f>G16*Assumptions!$B$16</f>
        <v>0</v>
      </c>
      <c r="H17" s="32">
        <f>H16*Assumptions!$B$16</f>
        <v>889388.88888888888</v>
      </c>
      <c r="I17" s="32">
        <f>I16*Assumptions!$B$16</f>
        <v>508222.22222222225</v>
      </c>
      <c r="J17" s="32">
        <f>J16*Assumptions!$B$16</f>
        <v>508222.22222222225</v>
      </c>
      <c r="K17" s="32">
        <f>K16*Assumptions!$B$16</f>
        <v>508222.22222222225</v>
      </c>
      <c r="L17" s="32">
        <f>L16*Assumptions!$B$16</f>
        <v>508222.22222222225</v>
      </c>
      <c r="M17" s="32">
        <f>M16*Assumptions!$B$16</f>
        <v>508222.22222222225</v>
      </c>
      <c r="N17" s="32">
        <f>N16*Assumptions!$B$16</f>
        <v>508222.22222222225</v>
      </c>
      <c r="O17" s="32">
        <f>O16*Assumptions!$B$16</f>
        <v>508222.22222222225</v>
      </c>
      <c r="P17" s="32">
        <f>P16*Assumptions!$B$16</f>
        <v>508222.22222222225</v>
      </c>
      <c r="Q17" s="32">
        <f>Q16*Assumptions!$B$16</f>
        <v>508222.22222222225</v>
      </c>
      <c r="R17" s="32">
        <f>R16*Assumptions!$B$16</f>
        <v>508222.22222222225</v>
      </c>
      <c r="S17" s="32">
        <f>S16*Assumptions!$B$16</f>
        <v>508222.22222222225</v>
      </c>
      <c r="T17" s="32">
        <f>T16*Assumptions!$B$16</f>
        <v>508222.22222222225</v>
      </c>
      <c r="U17" s="32">
        <f>U16*Assumptions!$B$16</f>
        <v>508222.22222222225</v>
      </c>
      <c r="V17" s="32">
        <f>V16*Assumptions!$B$16</f>
        <v>508222.22222222225</v>
      </c>
      <c r="W17" s="48">
        <f t="shared" si="4"/>
        <v>10291499.999999998</v>
      </c>
    </row>
    <row r="18" spans="1:23" x14ac:dyDescent="0.15">
      <c r="A18" s="9"/>
      <c r="B18" s="28" t="s">
        <v>26</v>
      </c>
      <c r="D18" s="2">
        <f>-D$17*Assumptions!$B$20</f>
        <v>0</v>
      </c>
      <c r="E18" s="2">
        <f>-E$17*Assumptions!$B$20</f>
        <v>0</v>
      </c>
      <c r="F18" s="2">
        <f>-F$17*Assumptions!$B$20</f>
        <v>-411660</v>
      </c>
      <c r="G18" s="2">
        <f>-G$17*Assumptions!$B$20</f>
        <v>0</v>
      </c>
      <c r="H18" s="2">
        <f>-H$17*Assumptions!$B$20</f>
        <v>-160090</v>
      </c>
      <c r="I18" s="2">
        <f>-I$17*Assumptions!$B$20</f>
        <v>-91480</v>
      </c>
      <c r="J18" s="2">
        <f>-J$17*Assumptions!$B$20</f>
        <v>-91480</v>
      </c>
      <c r="K18" s="2">
        <f>-K$17*Assumptions!$B$20</f>
        <v>-91480</v>
      </c>
      <c r="L18" s="2">
        <f>-L$17*Assumptions!$B$20</f>
        <v>-91480</v>
      </c>
      <c r="M18" s="2">
        <f>-M$17*Assumptions!$B$20</f>
        <v>-91480</v>
      </c>
      <c r="N18" s="2">
        <f>-N$17*Assumptions!$B$20</f>
        <v>-91480</v>
      </c>
      <c r="O18" s="2">
        <f>-O$17*Assumptions!$B$20</f>
        <v>-91480</v>
      </c>
      <c r="P18" s="2">
        <f>-P$17*Assumptions!$B$20</f>
        <v>-91480</v>
      </c>
      <c r="Q18" s="2">
        <f>-Q$17*Assumptions!$B$20</f>
        <v>-91480</v>
      </c>
      <c r="R18" s="2">
        <f>-R$17*Assumptions!$B$20</f>
        <v>-91480</v>
      </c>
      <c r="S18" s="2">
        <f>-S$17*Assumptions!$B$20</f>
        <v>-91480</v>
      </c>
      <c r="T18" s="2">
        <f>-T$17*Assumptions!$B$20</f>
        <v>-91480</v>
      </c>
      <c r="U18" s="2">
        <f>-U$17*Assumptions!$B$20</f>
        <v>-91480</v>
      </c>
      <c r="V18" s="2">
        <f>-V$17*Assumptions!$B$20</f>
        <v>-91480</v>
      </c>
      <c r="W18" s="49">
        <f t="shared" si="4"/>
        <v>-1852470</v>
      </c>
    </row>
    <row r="19" spans="1:23" x14ac:dyDescent="0.15">
      <c r="A19" s="9"/>
      <c r="B19" s="28" t="s">
        <v>57</v>
      </c>
      <c r="D19" s="2">
        <f>-D$17*Assumptions!$B$21</f>
        <v>0</v>
      </c>
      <c r="E19" s="2">
        <f>-E$17*Assumptions!$B$21</f>
        <v>0</v>
      </c>
      <c r="F19" s="2">
        <f>-F$17*Assumptions!$B$21</f>
        <v>-365920</v>
      </c>
      <c r="G19" s="2">
        <f>-G$17*Assumptions!$B$21</f>
        <v>0</v>
      </c>
      <c r="H19" s="2">
        <f>-H$17*Assumptions!$B$21</f>
        <v>-142302.22222222222</v>
      </c>
      <c r="I19" s="2">
        <f>-I$17*Assumptions!$B$21</f>
        <v>-81315.555555555562</v>
      </c>
      <c r="J19" s="2">
        <f>-J$17*Assumptions!$B$21</f>
        <v>-81315.555555555562</v>
      </c>
      <c r="K19" s="2">
        <f>-K$17*Assumptions!$B$21</f>
        <v>-81315.555555555562</v>
      </c>
      <c r="L19" s="2">
        <f>-L$17*Assumptions!$B$21</f>
        <v>-81315.555555555562</v>
      </c>
      <c r="M19" s="2">
        <f>-M$17*Assumptions!$B$21</f>
        <v>-81315.555555555562</v>
      </c>
      <c r="N19" s="2">
        <f>-N$17*Assumptions!$B$21</f>
        <v>-81315.555555555562</v>
      </c>
      <c r="O19" s="2">
        <f>-O$17*Assumptions!$B$21</f>
        <v>-81315.555555555562</v>
      </c>
      <c r="P19" s="2">
        <f>-P$17*Assumptions!$B$21</f>
        <v>-81315.555555555562</v>
      </c>
      <c r="Q19" s="2">
        <f>-Q$17*Assumptions!$B$21</f>
        <v>-81315.555555555562</v>
      </c>
      <c r="R19" s="2">
        <f>-R$17*Assumptions!$B$21</f>
        <v>-81315.555555555562</v>
      </c>
      <c r="S19" s="2">
        <f>-S$17*Assumptions!$B$21</f>
        <v>-81315.555555555562</v>
      </c>
      <c r="T19" s="2">
        <f>-T$17*Assumptions!$B$21</f>
        <v>-81315.555555555562</v>
      </c>
      <c r="U19" s="2">
        <f>-U$17*Assumptions!$B$21</f>
        <v>-81315.555555555562</v>
      </c>
      <c r="V19" s="2">
        <f>-V$17*Assumptions!$B$21</f>
        <v>-81315.555555555562</v>
      </c>
      <c r="W19" s="49">
        <f t="shared" si="4"/>
        <v>-1646639.9999999993</v>
      </c>
    </row>
    <row r="20" spans="1:23" x14ac:dyDescent="0.15">
      <c r="A20" s="9"/>
      <c r="B20" s="28" t="s">
        <v>58</v>
      </c>
      <c r="D20" s="2">
        <f>-D$17*Assumptions!$B$22</f>
        <v>0</v>
      </c>
      <c r="E20" s="2">
        <f>-E$17*Assumptions!$B$22</f>
        <v>0</v>
      </c>
      <c r="F20" s="2">
        <f>-F$17*Assumptions!$B$22</f>
        <v>-274440</v>
      </c>
      <c r="G20" s="2">
        <f>-G$17*Assumptions!$B$22</f>
        <v>0</v>
      </c>
      <c r="H20" s="2">
        <f>-H$17*Assumptions!$B$22</f>
        <v>-106726.66666666666</v>
      </c>
      <c r="I20" s="2">
        <f>-I$17*Assumptions!$B$22</f>
        <v>-60986.666666666664</v>
      </c>
      <c r="J20" s="2">
        <f>-J$17*Assumptions!$B$22</f>
        <v>-60986.666666666664</v>
      </c>
      <c r="K20" s="2">
        <f>-K$17*Assumptions!$B$22</f>
        <v>-60986.666666666664</v>
      </c>
      <c r="L20" s="2">
        <f>-L$17*Assumptions!$B$22</f>
        <v>-60986.666666666664</v>
      </c>
      <c r="M20" s="2">
        <f>-M$17*Assumptions!$B$22</f>
        <v>-60986.666666666664</v>
      </c>
      <c r="N20" s="2">
        <f>-N$17*Assumptions!$B$22</f>
        <v>-60986.666666666664</v>
      </c>
      <c r="O20" s="2">
        <f>-O$17*Assumptions!$B$22</f>
        <v>-60986.666666666664</v>
      </c>
      <c r="P20" s="2">
        <f>-P$17*Assumptions!$B$22</f>
        <v>-60986.666666666664</v>
      </c>
      <c r="Q20" s="2">
        <f>-Q$17*Assumptions!$B$22</f>
        <v>-60986.666666666664</v>
      </c>
      <c r="R20" s="2">
        <f>-R$17*Assumptions!$B$22</f>
        <v>-60986.666666666664</v>
      </c>
      <c r="S20" s="2">
        <f>-S$17*Assumptions!$B$22</f>
        <v>-60986.666666666664</v>
      </c>
      <c r="T20" s="2">
        <f>-T$17*Assumptions!$B$22</f>
        <v>-60986.666666666664</v>
      </c>
      <c r="U20" s="2">
        <f>-U$17*Assumptions!$B$22</f>
        <v>-60986.666666666664</v>
      </c>
      <c r="V20" s="2">
        <f>-V$17*Assumptions!$B$22</f>
        <v>-60986.666666666664</v>
      </c>
      <c r="W20" s="49">
        <f t="shared" si="4"/>
        <v>-1234980</v>
      </c>
    </row>
    <row r="21" spans="1:23" x14ac:dyDescent="0.15">
      <c r="A21" s="9"/>
      <c r="B21" s="28" t="s">
        <v>59</v>
      </c>
      <c r="D21" s="2">
        <f>-D$17*Assumptions!$B$23</f>
        <v>0</v>
      </c>
      <c r="E21" s="2">
        <f>-E$17*Assumptions!$B$23</f>
        <v>0</v>
      </c>
      <c r="F21" s="2">
        <f>-F$17*Assumptions!$B$23</f>
        <v>-91480</v>
      </c>
      <c r="G21" s="2">
        <f>-G$17*Assumptions!$B$23</f>
        <v>0</v>
      </c>
      <c r="H21" s="2">
        <f>-H$17*Assumptions!$B$23</f>
        <v>-35575.555555555555</v>
      </c>
      <c r="I21" s="2">
        <f>-I$17*Assumptions!$B$23</f>
        <v>-20328.888888888891</v>
      </c>
      <c r="J21" s="2">
        <f>-J$17*Assumptions!$B$23</f>
        <v>-20328.888888888891</v>
      </c>
      <c r="K21" s="2">
        <f>-K$17*Assumptions!$B$23</f>
        <v>-20328.888888888891</v>
      </c>
      <c r="L21" s="2">
        <f>-L$17*Assumptions!$B$23</f>
        <v>-20328.888888888891</v>
      </c>
      <c r="M21" s="2">
        <f>-M$17*Assumptions!$B$23</f>
        <v>-20328.888888888891</v>
      </c>
      <c r="N21" s="2">
        <f>-N$17*Assumptions!$B$23</f>
        <v>-20328.888888888891</v>
      </c>
      <c r="O21" s="2">
        <f>-O$17*Assumptions!$B$23</f>
        <v>-20328.888888888891</v>
      </c>
      <c r="P21" s="2">
        <f>-P$17*Assumptions!$B$23</f>
        <v>-20328.888888888891</v>
      </c>
      <c r="Q21" s="2">
        <f>-Q$17*Assumptions!$B$23</f>
        <v>-20328.888888888891</v>
      </c>
      <c r="R21" s="2">
        <f>-R$17*Assumptions!$B$23</f>
        <v>-20328.888888888891</v>
      </c>
      <c r="S21" s="2">
        <f>-S$17*Assumptions!$B$23</f>
        <v>-20328.888888888891</v>
      </c>
      <c r="T21" s="2">
        <f>-T$17*Assumptions!$B$23</f>
        <v>-20328.888888888891</v>
      </c>
      <c r="U21" s="2">
        <f>-U$17*Assumptions!$B$23</f>
        <v>-20328.888888888891</v>
      </c>
      <c r="V21" s="2">
        <f>-V$17*Assumptions!$B$23</f>
        <v>-20328.888888888891</v>
      </c>
      <c r="W21" s="49">
        <f t="shared" si="4"/>
        <v>-411659.99999999983</v>
      </c>
    </row>
    <row r="22" spans="1:23" x14ac:dyDescent="0.15">
      <c r="A22" s="9"/>
      <c r="B22" s="28" t="s">
        <v>60</v>
      </c>
      <c r="D22" s="2">
        <f>-D$17*Assumptions!$B$24</f>
        <v>0</v>
      </c>
      <c r="E22" s="2">
        <f>-E$17*Assumptions!$B$24</f>
        <v>0</v>
      </c>
      <c r="F22" s="2">
        <f>-F$17*Assumptions!$B$24</f>
        <v>-457400</v>
      </c>
      <c r="G22" s="2">
        <f>-G$17*Assumptions!$B$24</f>
        <v>0</v>
      </c>
      <c r="H22" s="2">
        <f>-H$17*Assumptions!$B$24</f>
        <v>-177877.77777777778</v>
      </c>
      <c r="I22" s="2">
        <f>-I$17*Assumptions!$B$24</f>
        <v>-101644.44444444445</v>
      </c>
      <c r="J22" s="2">
        <f>-J$17*Assumptions!$B$24</f>
        <v>-101644.44444444445</v>
      </c>
      <c r="K22" s="2">
        <f>-K$17*Assumptions!$B$24</f>
        <v>-101644.44444444445</v>
      </c>
      <c r="L22" s="2">
        <f>-L$17*Assumptions!$B$24</f>
        <v>-101644.44444444445</v>
      </c>
      <c r="M22" s="2">
        <f>-M$17*Assumptions!$B$24</f>
        <v>-101644.44444444445</v>
      </c>
      <c r="N22" s="2">
        <f>-N$17*Assumptions!$B$24</f>
        <v>-101644.44444444445</v>
      </c>
      <c r="O22" s="2">
        <f>-O$17*Assumptions!$B$24</f>
        <v>-101644.44444444445</v>
      </c>
      <c r="P22" s="2">
        <f>-P$17*Assumptions!$B$24</f>
        <v>-101644.44444444445</v>
      </c>
      <c r="Q22" s="2">
        <f>-Q$17*Assumptions!$B$24</f>
        <v>-101644.44444444445</v>
      </c>
      <c r="R22" s="2">
        <f>-R$17*Assumptions!$B$24</f>
        <v>-101644.44444444445</v>
      </c>
      <c r="S22" s="2">
        <f>-S$17*Assumptions!$B$24</f>
        <v>-101644.44444444445</v>
      </c>
      <c r="T22" s="2">
        <f>-T$17*Assumptions!$B$24</f>
        <v>-101644.44444444445</v>
      </c>
      <c r="U22" s="2">
        <f>-U$17*Assumptions!$B$24</f>
        <v>-101644.44444444445</v>
      </c>
      <c r="V22" s="2">
        <f>-V$17*Assumptions!$B$24</f>
        <v>-101644.44444444445</v>
      </c>
      <c r="W22" s="49">
        <f t="shared" si="4"/>
        <v>-2058300.0000000007</v>
      </c>
    </row>
    <row r="23" spans="1:23" x14ac:dyDescent="0.15">
      <c r="A23" s="9"/>
      <c r="B23" s="27" t="s">
        <v>27</v>
      </c>
      <c r="D23" s="8">
        <f>SUM(D18:D22)</f>
        <v>0</v>
      </c>
      <c r="E23" s="8">
        <f t="shared" ref="E23:V23" si="5">SUM(E18:E22)</f>
        <v>0</v>
      </c>
      <c r="F23" s="8">
        <f t="shared" si="5"/>
        <v>-1600900</v>
      </c>
      <c r="G23" s="8">
        <f t="shared" si="5"/>
        <v>0</v>
      </c>
      <c r="H23" s="8">
        <f t="shared" si="5"/>
        <v>-622572.22222222225</v>
      </c>
      <c r="I23" s="8">
        <f t="shared" si="5"/>
        <v>-355755.55555555556</v>
      </c>
      <c r="J23" s="8">
        <f t="shared" si="5"/>
        <v>-355755.55555555556</v>
      </c>
      <c r="K23" s="8">
        <f t="shared" si="5"/>
        <v>-355755.55555555556</v>
      </c>
      <c r="L23" s="8">
        <f t="shared" si="5"/>
        <v>-355755.55555555556</v>
      </c>
      <c r="M23" s="8">
        <f t="shared" si="5"/>
        <v>-355755.55555555556</v>
      </c>
      <c r="N23" s="8">
        <f t="shared" si="5"/>
        <v>-355755.55555555556</v>
      </c>
      <c r="O23" s="8">
        <f t="shared" si="5"/>
        <v>-355755.55555555556</v>
      </c>
      <c r="P23" s="8">
        <f t="shared" si="5"/>
        <v>-355755.55555555556</v>
      </c>
      <c r="Q23" s="8">
        <f t="shared" si="5"/>
        <v>-355755.55555555556</v>
      </c>
      <c r="R23" s="8">
        <f t="shared" si="5"/>
        <v>-355755.55555555556</v>
      </c>
      <c r="S23" s="8">
        <f t="shared" si="5"/>
        <v>-355755.55555555556</v>
      </c>
      <c r="T23" s="8">
        <f t="shared" si="5"/>
        <v>-355755.55555555556</v>
      </c>
      <c r="U23" s="8">
        <f t="shared" si="5"/>
        <v>-355755.55555555556</v>
      </c>
      <c r="V23" s="8">
        <f t="shared" si="5"/>
        <v>-355755.55555555556</v>
      </c>
      <c r="W23" s="49">
        <f t="shared" si="4"/>
        <v>-7204050.0000000028</v>
      </c>
    </row>
    <row r="24" spans="1:23" x14ac:dyDescent="0.15">
      <c r="A24" s="29"/>
      <c r="B24" s="33" t="s">
        <v>28</v>
      </c>
      <c r="C24" s="31"/>
      <c r="D24" s="32">
        <f>D17+D23</f>
        <v>0</v>
      </c>
      <c r="E24" s="32">
        <f t="shared" ref="E24:V24" si="6">E17+E23</f>
        <v>0</v>
      </c>
      <c r="F24" s="32">
        <f t="shared" si="6"/>
        <v>686100</v>
      </c>
      <c r="G24" s="32">
        <f t="shared" si="6"/>
        <v>0</v>
      </c>
      <c r="H24" s="32">
        <f t="shared" si="6"/>
        <v>266816.66666666663</v>
      </c>
      <c r="I24" s="32">
        <f t="shared" si="6"/>
        <v>152466.66666666669</v>
      </c>
      <c r="J24" s="32">
        <f t="shared" si="6"/>
        <v>152466.66666666669</v>
      </c>
      <c r="K24" s="32">
        <f t="shared" si="6"/>
        <v>152466.66666666669</v>
      </c>
      <c r="L24" s="32">
        <f t="shared" si="6"/>
        <v>152466.66666666669</v>
      </c>
      <c r="M24" s="32">
        <f t="shared" si="6"/>
        <v>152466.66666666669</v>
      </c>
      <c r="N24" s="32">
        <f t="shared" si="6"/>
        <v>152466.66666666669</v>
      </c>
      <c r="O24" s="32">
        <f t="shared" si="6"/>
        <v>152466.66666666669</v>
      </c>
      <c r="P24" s="32">
        <f t="shared" si="6"/>
        <v>152466.66666666669</v>
      </c>
      <c r="Q24" s="32">
        <f t="shared" si="6"/>
        <v>152466.66666666669</v>
      </c>
      <c r="R24" s="32">
        <f t="shared" si="6"/>
        <v>152466.66666666669</v>
      </c>
      <c r="S24" s="32">
        <f t="shared" si="6"/>
        <v>152466.66666666669</v>
      </c>
      <c r="T24" s="32">
        <f t="shared" si="6"/>
        <v>152466.66666666669</v>
      </c>
      <c r="U24" s="32">
        <f t="shared" si="6"/>
        <v>152466.66666666669</v>
      </c>
      <c r="V24" s="32">
        <f t="shared" si="6"/>
        <v>152466.66666666669</v>
      </c>
      <c r="W24" s="52">
        <f t="shared" si="4"/>
        <v>3087449.9999999995</v>
      </c>
    </row>
    <row r="25" spans="1:23" x14ac:dyDescent="0.15">
      <c r="A25" s="9"/>
      <c r="B25" s="28" t="s">
        <v>29</v>
      </c>
      <c r="D25" s="6">
        <f>IFERROR(D24/D17,0)</f>
        <v>0</v>
      </c>
      <c r="E25" s="6">
        <f t="shared" ref="E25:V25" si="7">IFERROR(E24/E17,0)</f>
        <v>0</v>
      </c>
      <c r="F25" s="6">
        <f t="shared" si="7"/>
        <v>0.3</v>
      </c>
      <c r="G25" s="6">
        <f t="shared" si="7"/>
        <v>0</v>
      </c>
      <c r="H25" s="6">
        <f t="shared" si="7"/>
        <v>0.29999999999999993</v>
      </c>
      <c r="I25" s="6">
        <f t="shared" si="7"/>
        <v>0.30000000000000004</v>
      </c>
      <c r="J25" s="6">
        <f t="shared" si="7"/>
        <v>0.30000000000000004</v>
      </c>
      <c r="K25" s="6">
        <f t="shared" si="7"/>
        <v>0.30000000000000004</v>
      </c>
      <c r="L25" s="6">
        <f t="shared" si="7"/>
        <v>0.30000000000000004</v>
      </c>
      <c r="M25" s="6">
        <f t="shared" si="7"/>
        <v>0.30000000000000004</v>
      </c>
      <c r="N25" s="6">
        <f t="shared" si="7"/>
        <v>0.30000000000000004</v>
      </c>
      <c r="O25" s="6">
        <f t="shared" si="7"/>
        <v>0.30000000000000004</v>
      </c>
      <c r="P25" s="6">
        <f t="shared" si="7"/>
        <v>0.30000000000000004</v>
      </c>
      <c r="Q25" s="6">
        <f t="shared" si="7"/>
        <v>0.30000000000000004</v>
      </c>
      <c r="R25" s="6">
        <f t="shared" si="7"/>
        <v>0.30000000000000004</v>
      </c>
      <c r="S25" s="6">
        <f t="shared" si="7"/>
        <v>0.30000000000000004</v>
      </c>
      <c r="T25" s="6">
        <f t="shared" si="7"/>
        <v>0.30000000000000004</v>
      </c>
      <c r="U25" s="6">
        <f t="shared" si="7"/>
        <v>0.30000000000000004</v>
      </c>
      <c r="V25" s="6">
        <f t="shared" si="7"/>
        <v>0.30000000000000004</v>
      </c>
      <c r="W25" s="50">
        <f>IFERROR(W24/W17,0)</f>
        <v>0.3</v>
      </c>
    </row>
    <row r="26" spans="1:23" x14ac:dyDescent="0.15">
      <c r="A26" s="9"/>
      <c r="B26" s="24"/>
      <c r="W26" s="45"/>
    </row>
    <row r="27" spans="1:23" ht="22" customHeight="1" x14ac:dyDescent="0.15">
      <c r="A27" s="15" t="s">
        <v>61</v>
      </c>
      <c r="B27" s="1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46"/>
    </row>
    <row r="28" spans="1:23" x14ac:dyDescent="0.15">
      <c r="A28" s="34"/>
      <c r="B28" s="35" t="s">
        <v>62</v>
      </c>
      <c r="C28" s="35"/>
      <c r="D28" s="36">
        <f>D10+D17</f>
        <v>242000</v>
      </c>
      <c r="E28" s="36">
        <f t="shared" ref="E28:V28" si="8">E10+E17</f>
        <v>369770</v>
      </c>
      <c r="F28" s="36">
        <f t="shared" si="8"/>
        <v>2982750</v>
      </c>
      <c r="G28" s="36">
        <f t="shared" si="8"/>
        <v>453750</v>
      </c>
      <c r="H28" s="36">
        <f t="shared" si="8"/>
        <v>1074273.888888889</v>
      </c>
      <c r="I28" s="36">
        <f t="shared" si="8"/>
        <v>1415722.2222222222</v>
      </c>
      <c r="J28" s="36">
        <f t="shared" si="8"/>
        <v>871222.22222222225</v>
      </c>
      <c r="K28" s="36">
        <f t="shared" si="8"/>
        <v>1412697.2222222222</v>
      </c>
      <c r="L28" s="36">
        <f t="shared" si="8"/>
        <v>988923.22222222225</v>
      </c>
      <c r="M28" s="36">
        <f t="shared" si="8"/>
        <v>1098097.2222222222</v>
      </c>
      <c r="N28" s="36">
        <f t="shared" si="8"/>
        <v>822822.22222222225</v>
      </c>
      <c r="O28" s="36">
        <f t="shared" si="8"/>
        <v>948572.72222222225</v>
      </c>
      <c r="P28" s="36">
        <f t="shared" si="8"/>
        <v>822822.22222222225</v>
      </c>
      <c r="Q28" s="36">
        <f t="shared" si="8"/>
        <v>988923.22222222225</v>
      </c>
      <c r="R28" s="36">
        <f t="shared" si="8"/>
        <v>1412697.2222222222</v>
      </c>
      <c r="S28" s="36">
        <f t="shared" si="8"/>
        <v>1348097.2222222222</v>
      </c>
      <c r="T28" s="36">
        <f t="shared" si="8"/>
        <v>748572.72222222225</v>
      </c>
      <c r="U28" s="36">
        <f t="shared" si="8"/>
        <v>1687972.2222222222</v>
      </c>
      <c r="V28" s="36">
        <f t="shared" si="8"/>
        <v>1280122.2222222222</v>
      </c>
      <c r="W28" s="53">
        <f>SUM(D28:V28)</f>
        <v>20969808.000000004</v>
      </c>
    </row>
    <row r="29" spans="1:23" x14ac:dyDescent="0.15">
      <c r="A29" s="9"/>
      <c r="B29" s="28" t="s">
        <v>63</v>
      </c>
      <c r="D29" s="19">
        <f>D11+D23</f>
        <v>-174240</v>
      </c>
      <c r="E29" s="19">
        <f t="shared" ref="E29:V29" si="9">E11+E23</f>
        <v>-266234.39999999997</v>
      </c>
      <c r="F29" s="19">
        <f t="shared" si="9"/>
        <v>-2101840</v>
      </c>
      <c r="G29" s="19">
        <f t="shared" si="9"/>
        <v>-326700</v>
      </c>
      <c r="H29" s="19">
        <f t="shared" si="9"/>
        <v>-755689.4222222222</v>
      </c>
      <c r="I29" s="19">
        <f t="shared" si="9"/>
        <v>-1009155.5555555555</v>
      </c>
      <c r="J29" s="19">
        <f t="shared" si="9"/>
        <v>-617115.5555555555</v>
      </c>
      <c r="K29" s="19">
        <f t="shared" si="9"/>
        <v>-1006977.5555555555</v>
      </c>
      <c r="L29" s="19">
        <f t="shared" si="9"/>
        <v>-701860.27555555548</v>
      </c>
      <c r="M29" s="19">
        <f t="shared" si="9"/>
        <v>-780465.5555555555</v>
      </c>
      <c r="N29" s="19">
        <f t="shared" si="9"/>
        <v>-582267.5555555555</v>
      </c>
      <c r="O29" s="19">
        <f t="shared" si="9"/>
        <v>-672807.91555555561</v>
      </c>
      <c r="P29" s="19">
        <f t="shared" si="9"/>
        <v>-582267.5555555555</v>
      </c>
      <c r="Q29" s="19">
        <f t="shared" si="9"/>
        <v>-701860.27555555548</v>
      </c>
      <c r="R29" s="19">
        <f t="shared" si="9"/>
        <v>-1006977.5555555555</v>
      </c>
      <c r="S29" s="19">
        <f t="shared" si="9"/>
        <v>-960465.5555555555</v>
      </c>
      <c r="T29" s="19">
        <f t="shared" si="9"/>
        <v>-528807.91555555561</v>
      </c>
      <c r="U29" s="19">
        <f t="shared" si="9"/>
        <v>-1205175.5555555555</v>
      </c>
      <c r="V29" s="19">
        <f t="shared" si="9"/>
        <v>-911523.5555555555</v>
      </c>
      <c r="W29" s="49">
        <f>SUM(D29:V29)</f>
        <v>-14892431.760000002</v>
      </c>
    </row>
    <row r="30" spans="1:23" x14ac:dyDescent="0.15">
      <c r="A30" s="34"/>
      <c r="B30" s="35" t="s">
        <v>64</v>
      </c>
      <c r="C30" s="35"/>
      <c r="D30" s="36">
        <f>D12+D24</f>
        <v>67760</v>
      </c>
      <c r="E30" s="36">
        <f t="shared" ref="E30:V30" si="10">E12+E24</f>
        <v>103535.60000000003</v>
      </c>
      <c r="F30" s="36">
        <f t="shared" si="10"/>
        <v>880910</v>
      </c>
      <c r="G30" s="36">
        <f t="shared" si="10"/>
        <v>127050</v>
      </c>
      <c r="H30" s="36">
        <f t="shared" si="10"/>
        <v>318584.46666666667</v>
      </c>
      <c r="I30" s="36">
        <f t="shared" si="10"/>
        <v>406566.66666666669</v>
      </c>
      <c r="J30" s="36">
        <f t="shared" si="10"/>
        <v>254106.66666666669</v>
      </c>
      <c r="K30" s="36">
        <f t="shared" si="10"/>
        <v>405719.66666666669</v>
      </c>
      <c r="L30" s="36">
        <f t="shared" si="10"/>
        <v>287062.94666666671</v>
      </c>
      <c r="M30" s="36">
        <f t="shared" si="10"/>
        <v>317631.66666666669</v>
      </c>
      <c r="N30" s="36">
        <f t="shared" si="10"/>
        <v>240554.66666666669</v>
      </c>
      <c r="O30" s="36">
        <f t="shared" si="10"/>
        <v>275764.8066666667</v>
      </c>
      <c r="P30" s="36">
        <f t="shared" si="10"/>
        <v>240554.66666666669</v>
      </c>
      <c r="Q30" s="36">
        <f t="shared" si="10"/>
        <v>287062.94666666671</v>
      </c>
      <c r="R30" s="36">
        <f t="shared" si="10"/>
        <v>405719.66666666669</v>
      </c>
      <c r="S30" s="36">
        <f t="shared" si="10"/>
        <v>387631.66666666669</v>
      </c>
      <c r="T30" s="36">
        <f t="shared" si="10"/>
        <v>219764.8066666667</v>
      </c>
      <c r="U30" s="36">
        <f t="shared" si="10"/>
        <v>482796.66666666669</v>
      </c>
      <c r="V30" s="36">
        <f t="shared" si="10"/>
        <v>368598.66666666669</v>
      </c>
      <c r="W30" s="53">
        <f>SUM(D30:V30)</f>
        <v>6077376.2400000012</v>
      </c>
    </row>
    <row r="31" spans="1:23" x14ac:dyDescent="0.15">
      <c r="A31" s="9"/>
      <c r="B31" s="22" t="s">
        <v>65</v>
      </c>
      <c r="D31" s="20">
        <f>IFERROR(D30/D28,0)</f>
        <v>0.28000000000000003</v>
      </c>
      <c r="E31" s="20">
        <f t="shared" ref="E31:V31" si="11">IFERROR(E30/E28,0)</f>
        <v>0.28000000000000008</v>
      </c>
      <c r="F31" s="20">
        <f t="shared" si="11"/>
        <v>0.29533484200821392</v>
      </c>
      <c r="G31" s="20">
        <f t="shared" si="11"/>
        <v>0.28000000000000003</v>
      </c>
      <c r="H31" s="20">
        <f t="shared" si="11"/>
        <v>0.29655795413232605</v>
      </c>
      <c r="I31" s="20">
        <f t="shared" si="11"/>
        <v>0.28717968841973079</v>
      </c>
      <c r="J31" s="20">
        <f t="shared" si="11"/>
        <v>0.29166687922458873</v>
      </c>
      <c r="K31" s="20">
        <f t="shared" si="11"/>
        <v>0.28719506224302999</v>
      </c>
      <c r="L31" s="20">
        <f t="shared" si="11"/>
        <v>0.29027829483223566</v>
      </c>
      <c r="M31" s="20">
        <f t="shared" si="11"/>
        <v>0.28925641576970268</v>
      </c>
      <c r="N31" s="20">
        <f t="shared" si="11"/>
        <v>0.29235314770302756</v>
      </c>
      <c r="O31" s="20">
        <f t="shared" si="11"/>
        <v>0.29071551416809899</v>
      </c>
      <c r="P31" s="20">
        <f t="shared" si="11"/>
        <v>0.29235314770302756</v>
      </c>
      <c r="Q31" s="20">
        <f t="shared" si="11"/>
        <v>0.29027829483223566</v>
      </c>
      <c r="R31" s="20">
        <f t="shared" si="11"/>
        <v>0.28719506224302999</v>
      </c>
      <c r="S31" s="20">
        <f t="shared" si="11"/>
        <v>0.28753984525514359</v>
      </c>
      <c r="T31" s="20">
        <f t="shared" si="11"/>
        <v>0.29357843285321722</v>
      </c>
      <c r="U31" s="20">
        <f t="shared" si="11"/>
        <v>0.28602168940378825</v>
      </c>
      <c r="V31" s="20">
        <f t="shared" si="11"/>
        <v>0.28794021404206199</v>
      </c>
      <c r="W31" s="54">
        <f>IFERROR(W30/W28,0)</f>
        <v>0.2898155405142479</v>
      </c>
    </row>
    <row r="32" spans="1:23" x14ac:dyDescent="0.15">
      <c r="A32" s="9"/>
      <c r="B32" s="28" t="s">
        <v>66</v>
      </c>
      <c r="D32" s="21">
        <f>-Assumptions!$B$28</f>
        <v>-10000</v>
      </c>
      <c r="E32" s="21">
        <f>-Assumptions!$B$28</f>
        <v>-10000</v>
      </c>
      <c r="F32" s="21">
        <f>-Assumptions!$B$28</f>
        <v>-10000</v>
      </c>
      <c r="G32" s="21">
        <f>-Assumptions!$B$28</f>
        <v>-10000</v>
      </c>
      <c r="H32" s="21">
        <f>-Assumptions!$B$28</f>
        <v>-10000</v>
      </c>
      <c r="I32" s="21">
        <f>-Assumptions!$B$28</f>
        <v>-10000</v>
      </c>
      <c r="J32" s="21">
        <f>-Assumptions!$B$28</f>
        <v>-10000</v>
      </c>
      <c r="K32" s="21">
        <f>-Assumptions!$B$28</f>
        <v>-10000</v>
      </c>
      <c r="L32" s="21">
        <f>-Assumptions!$B$28</f>
        <v>-10000</v>
      </c>
      <c r="M32" s="21">
        <f>-Assumptions!$B$28</f>
        <v>-10000</v>
      </c>
      <c r="N32" s="21">
        <f>-Assumptions!$B$28</f>
        <v>-10000</v>
      </c>
      <c r="O32" s="21">
        <f>-Assumptions!$B$28</f>
        <v>-10000</v>
      </c>
      <c r="P32" s="21">
        <f>-Assumptions!$B$28</f>
        <v>-10000</v>
      </c>
      <c r="Q32" s="21">
        <f>-Assumptions!$B$28</f>
        <v>-10000</v>
      </c>
      <c r="R32" s="21">
        <f>-Assumptions!$B$28</f>
        <v>-10000</v>
      </c>
      <c r="S32" s="21">
        <f>-Assumptions!$B$28</f>
        <v>-10000</v>
      </c>
      <c r="T32" s="21">
        <f>-Assumptions!$B$28</f>
        <v>-10000</v>
      </c>
      <c r="U32" s="21">
        <f>-Assumptions!$B$28</f>
        <v>-10000</v>
      </c>
      <c r="V32" s="21">
        <f>-Assumptions!$B$28</f>
        <v>-10000</v>
      </c>
      <c r="W32" s="49">
        <f>SUM(D32:V32)</f>
        <v>-190000</v>
      </c>
    </row>
    <row r="33" spans="1:23" x14ac:dyDescent="0.15">
      <c r="A33" s="37"/>
      <c r="B33" s="38" t="s">
        <v>30</v>
      </c>
      <c r="C33" s="37"/>
      <c r="D33" s="39">
        <f>D30+D32</f>
        <v>57760</v>
      </c>
      <c r="E33" s="39">
        <f t="shared" ref="E33:V33" si="12">E30+E32</f>
        <v>93535.600000000035</v>
      </c>
      <c r="F33" s="39">
        <f t="shared" si="12"/>
        <v>870910</v>
      </c>
      <c r="G33" s="39">
        <f t="shared" si="12"/>
        <v>117050</v>
      </c>
      <c r="H33" s="39">
        <f t="shared" si="12"/>
        <v>308584.46666666667</v>
      </c>
      <c r="I33" s="39">
        <f t="shared" si="12"/>
        <v>396566.66666666669</v>
      </c>
      <c r="J33" s="39">
        <f t="shared" si="12"/>
        <v>244106.66666666669</v>
      </c>
      <c r="K33" s="39">
        <f t="shared" si="12"/>
        <v>395719.66666666669</v>
      </c>
      <c r="L33" s="39">
        <f t="shared" si="12"/>
        <v>277062.94666666671</v>
      </c>
      <c r="M33" s="39">
        <f t="shared" si="12"/>
        <v>307631.66666666669</v>
      </c>
      <c r="N33" s="39">
        <f t="shared" si="12"/>
        <v>230554.66666666669</v>
      </c>
      <c r="O33" s="39">
        <f t="shared" si="12"/>
        <v>265764.8066666667</v>
      </c>
      <c r="P33" s="39">
        <f t="shared" si="12"/>
        <v>230554.66666666669</v>
      </c>
      <c r="Q33" s="39">
        <f t="shared" si="12"/>
        <v>277062.94666666671</v>
      </c>
      <c r="R33" s="39">
        <f t="shared" si="12"/>
        <v>395719.66666666669</v>
      </c>
      <c r="S33" s="39">
        <f t="shared" si="12"/>
        <v>377631.66666666669</v>
      </c>
      <c r="T33" s="39">
        <f t="shared" si="12"/>
        <v>209764.8066666667</v>
      </c>
      <c r="U33" s="39">
        <f t="shared" si="12"/>
        <v>472796.66666666669</v>
      </c>
      <c r="V33" s="39">
        <f t="shared" si="12"/>
        <v>358598.66666666669</v>
      </c>
      <c r="W33" s="55">
        <f>SUM(D33:V33)</f>
        <v>5887376.2400000012</v>
      </c>
    </row>
    <row r="34" spans="1:23" ht="14" thickBot="1" x14ac:dyDescent="0.2">
      <c r="A34" s="40"/>
      <c r="B34" s="41" t="s">
        <v>31</v>
      </c>
      <c r="C34" s="40"/>
      <c r="D34" s="42">
        <f>IFERROR(D33/D28,0)</f>
        <v>0.23867768595041322</v>
      </c>
      <c r="E34" s="42">
        <f t="shared" ref="E34:V34" si="13">IFERROR(E33/E28,0)</f>
        <v>0.2529561619385024</v>
      </c>
      <c r="F34" s="42">
        <f t="shared" si="13"/>
        <v>0.29198223116251781</v>
      </c>
      <c r="G34" s="42">
        <f t="shared" si="13"/>
        <v>0.25796143250688708</v>
      </c>
      <c r="H34" s="42">
        <f t="shared" si="13"/>
        <v>0.28724934102776395</v>
      </c>
      <c r="I34" s="42">
        <f t="shared" si="13"/>
        <v>0.28011615586861832</v>
      </c>
      <c r="J34" s="42">
        <f t="shared" si="13"/>
        <v>0.28018875143476601</v>
      </c>
      <c r="K34" s="42">
        <f t="shared" si="13"/>
        <v>0.28011640459247578</v>
      </c>
      <c r="L34" s="42">
        <f t="shared" si="13"/>
        <v>0.28016628636151852</v>
      </c>
      <c r="M34" s="42">
        <f t="shared" si="13"/>
        <v>0.28014975399365066</v>
      </c>
      <c r="N34" s="42">
        <f t="shared" si="13"/>
        <v>0.28019985416047749</v>
      </c>
      <c r="O34" s="42">
        <f t="shared" si="13"/>
        <v>0.28017335987066888</v>
      </c>
      <c r="P34" s="42">
        <f t="shared" si="13"/>
        <v>0.28019985416047749</v>
      </c>
      <c r="Q34" s="42">
        <f t="shared" si="13"/>
        <v>0.28016628636151852</v>
      </c>
      <c r="R34" s="42">
        <f t="shared" si="13"/>
        <v>0.28011640459247578</v>
      </c>
      <c r="S34" s="42">
        <f t="shared" si="13"/>
        <v>0.28012198262983834</v>
      </c>
      <c r="T34" s="42">
        <f t="shared" si="13"/>
        <v>0.28021967731332276</v>
      </c>
      <c r="U34" s="42">
        <f t="shared" si="13"/>
        <v>0.28009742129774384</v>
      </c>
      <c r="V34" s="42">
        <f t="shared" si="13"/>
        <v>0.2801284599560806</v>
      </c>
      <c r="W34" s="56">
        <f>IFERROR(W33/W28,0)</f>
        <v>0.28075489484691513</v>
      </c>
    </row>
  </sheetData>
  <mergeCells count="1">
    <mergeCell ref="A1:W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BA78-548B-374D-97BE-A70AC9B9A84E}">
  <sheetPr>
    <tabColor rgb="FF4A6B47"/>
  </sheetPr>
  <dimension ref="A1:W27"/>
  <sheetViews>
    <sheetView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B16" sqref="B16"/>
    </sheetView>
  </sheetViews>
  <sheetFormatPr baseColWidth="10" defaultRowHeight="13" x14ac:dyDescent="0.15"/>
  <cols>
    <col min="1" max="1" width="3" customWidth="1"/>
    <col min="2" max="2" width="38.33203125" customWidth="1"/>
    <col min="3" max="3" width="13.33203125" customWidth="1"/>
    <col min="4" max="22" width="13" customWidth="1"/>
    <col min="23" max="23" width="15.83203125" customWidth="1"/>
  </cols>
  <sheetData>
    <row r="1" spans="1:23" ht="32" customHeight="1" x14ac:dyDescent="0.15">
      <c r="A1" s="69" t="s">
        <v>56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70"/>
    </row>
    <row r="2" spans="1:23" ht="6" customHeight="1" x14ac:dyDescent="0.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43"/>
    </row>
    <row r="3" spans="1:23" ht="22" customHeight="1" x14ac:dyDescent="0.15">
      <c r="A3" s="10"/>
      <c r="B3" s="10"/>
      <c r="C3" s="10" t="s">
        <v>0</v>
      </c>
      <c r="D3" s="11">
        <v>46174</v>
      </c>
      <c r="E3" s="11">
        <v>46204</v>
      </c>
      <c r="F3" s="11">
        <v>46235</v>
      </c>
      <c r="G3" s="11">
        <v>46266</v>
      </c>
      <c r="H3" s="11">
        <v>46296</v>
      </c>
      <c r="I3" s="11">
        <v>46327</v>
      </c>
      <c r="J3" s="11">
        <v>46357</v>
      </c>
      <c r="K3" s="11">
        <v>46388</v>
      </c>
      <c r="L3" s="11">
        <v>46419</v>
      </c>
      <c r="M3" s="11">
        <v>46447</v>
      </c>
      <c r="N3" s="11">
        <v>46478</v>
      </c>
      <c r="O3" s="11">
        <v>46508</v>
      </c>
      <c r="P3" s="11">
        <v>46539</v>
      </c>
      <c r="Q3" s="11">
        <v>46569</v>
      </c>
      <c r="R3" s="11">
        <v>46600</v>
      </c>
      <c r="S3" s="11">
        <v>46631</v>
      </c>
      <c r="T3" s="11">
        <v>46661</v>
      </c>
      <c r="U3" s="11">
        <v>46692</v>
      </c>
      <c r="V3" s="11">
        <v>46722</v>
      </c>
      <c r="W3" s="44" t="s">
        <v>1</v>
      </c>
    </row>
    <row r="4" spans="1:23" ht="4" customHeight="1" x14ac:dyDescent="0.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45"/>
    </row>
    <row r="5" spans="1:23" ht="22" customHeight="1" x14ac:dyDescent="0.15">
      <c r="A5" s="14" t="s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59"/>
    </row>
    <row r="6" spans="1:23" x14ac:dyDescent="0.15">
      <c r="A6" s="9"/>
      <c r="B6" s="24" t="s">
        <v>67</v>
      </c>
      <c r="C6" s="1">
        <f>Assumptions!$B$5*'P&amp;L'!D10</f>
        <v>181500</v>
      </c>
      <c r="D6" s="1">
        <f>Assumptions!$B$5*'P&amp;L'!E10</f>
        <v>277327.5</v>
      </c>
      <c r="E6" s="1">
        <f>Assumptions!$B$5*'P&amp;L'!F10</f>
        <v>521812.5</v>
      </c>
      <c r="F6" s="1">
        <f>Assumptions!$B$5*'P&amp;L'!G10</f>
        <v>340312.5</v>
      </c>
      <c r="G6" s="1">
        <f>Assumptions!$B$5*'P&amp;L'!H10</f>
        <v>138663.75</v>
      </c>
      <c r="H6" s="1">
        <f>Assumptions!$B$5*'P&amp;L'!I10</f>
        <v>680625</v>
      </c>
      <c r="I6" s="1">
        <f>Assumptions!$B$5*'P&amp;L'!J10</f>
        <v>272250</v>
      </c>
      <c r="J6" s="1">
        <f>Assumptions!$B$5*'P&amp;L'!K10</f>
        <v>678356.25</v>
      </c>
      <c r="K6" s="1">
        <f>Assumptions!$B$5*'P&amp;L'!L10</f>
        <v>360525.75</v>
      </c>
      <c r="L6" s="1">
        <f>Assumptions!$B$5*'P&amp;L'!M10</f>
        <v>442406.25</v>
      </c>
      <c r="M6" s="1">
        <f>Assumptions!$B$5*'P&amp;L'!N10</f>
        <v>235950</v>
      </c>
      <c r="N6" s="1">
        <f>Assumptions!$B$5*'P&amp;L'!O10</f>
        <v>330262.875</v>
      </c>
      <c r="O6" s="1">
        <f>Assumptions!$B$5*'P&amp;L'!P10</f>
        <v>235950</v>
      </c>
      <c r="P6" s="1">
        <f>Assumptions!$B$5*'P&amp;L'!Q10</f>
        <v>360525.75</v>
      </c>
      <c r="Q6" s="1">
        <f>Assumptions!$B$5*'P&amp;L'!R10</f>
        <v>678356.25</v>
      </c>
      <c r="R6" s="1">
        <f>Assumptions!$B$5*'P&amp;L'!S10</f>
        <v>629906.25</v>
      </c>
      <c r="S6" s="1">
        <f>Assumptions!$B$5*'P&amp;L'!T10</f>
        <v>180262.875</v>
      </c>
      <c r="T6" s="1">
        <f>Assumptions!$B$5*'P&amp;L'!U10</f>
        <v>884812.5</v>
      </c>
      <c r="U6" s="1">
        <f>Assumptions!$B$5*'P&amp;L'!V10</f>
        <v>578925</v>
      </c>
      <c r="V6" s="1">
        <v>0</v>
      </c>
      <c r="W6" s="47">
        <f>SUM(C6:V6)</f>
        <v>8008731</v>
      </c>
    </row>
    <row r="7" spans="1:23" x14ac:dyDescent="0.15">
      <c r="A7" s="9"/>
      <c r="B7" s="24" t="s">
        <v>68</v>
      </c>
      <c r="D7" s="1">
        <f>Assumptions!$B$6*'P&amp;L'!D10</f>
        <v>60500</v>
      </c>
      <c r="E7" s="1">
        <f>Assumptions!$B$6*'P&amp;L'!E10</f>
        <v>92442.5</v>
      </c>
      <c r="F7" s="1">
        <f>Assumptions!$B$6*'P&amp;L'!F10</f>
        <v>173937.5</v>
      </c>
      <c r="G7" s="1">
        <f>Assumptions!$B$6*'P&amp;L'!G10</f>
        <v>113437.5</v>
      </c>
      <c r="H7" s="1">
        <f>Assumptions!$B$6*'P&amp;L'!H10</f>
        <v>46221.25</v>
      </c>
      <c r="I7" s="1">
        <f>Assumptions!$B$6*'P&amp;L'!I10</f>
        <v>226875</v>
      </c>
      <c r="J7" s="1">
        <f>Assumptions!$B$6*'P&amp;L'!J10</f>
        <v>90750</v>
      </c>
      <c r="K7" s="1">
        <f>Assumptions!$B$6*'P&amp;L'!K10</f>
        <v>226118.75</v>
      </c>
      <c r="L7" s="1">
        <f>Assumptions!$B$6*'P&amp;L'!L10</f>
        <v>120175.25</v>
      </c>
      <c r="M7" s="1">
        <f>Assumptions!$B$6*'P&amp;L'!M10</f>
        <v>147468.75</v>
      </c>
      <c r="N7" s="1">
        <f>Assumptions!$B$6*'P&amp;L'!N10</f>
        <v>78650</v>
      </c>
      <c r="O7" s="1">
        <f>Assumptions!$B$6*'P&amp;L'!O10</f>
        <v>110087.625</v>
      </c>
      <c r="P7" s="1">
        <f>Assumptions!$B$6*'P&amp;L'!P10</f>
        <v>78650</v>
      </c>
      <c r="Q7" s="1">
        <f>Assumptions!$B$6*'P&amp;L'!Q10</f>
        <v>120175.25</v>
      </c>
      <c r="R7" s="1">
        <f>Assumptions!$B$6*'P&amp;L'!R10</f>
        <v>226118.75</v>
      </c>
      <c r="S7" s="1">
        <f>Assumptions!$B$6*'P&amp;L'!S10</f>
        <v>209968.75</v>
      </c>
      <c r="T7" s="1">
        <f>Assumptions!$B$6*'P&amp;L'!T10</f>
        <v>60087.625</v>
      </c>
      <c r="U7" s="1">
        <f>Assumptions!$B$6*'P&amp;L'!U10</f>
        <v>294937.5</v>
      </c>
      <c r="V7" s="1">
        <f>Assumptions!$B$6*'P&amp;L'!V10</f>
        <v>192975</v>
      </c>
      <c r="W7" s="47">
        <f>SUM(C7:V7)</f>
        <v>2669577</v>
      </c>
    </row>
    <row r="8" spans="1:23" x14ac:dyDescent="0.15">
      <c r="A8" s="29"/>
      <c r="B8" s="30" t="s">
        <v>69</v>
      </c>
      <c r="C8" s="32">
        <f>C6+C7</f>
        <v>181500</v>
      </c>
      <c r="D8" s="32">
        <f>D6+D7</f>
        <v>337827.5</v>
      </c>
      <c r="E8" s="32">
        <f t="shared" ref="E8:V8" si="0">E6+E7</f>
        <v>614255</v>
      </c>
      <c r="F8" s="32">
        <f t="shared" si="0"/>
        <v>514250</v>
      </c>
      <c r="G8" s="32">
        <f t="shared" si="0"/>
        <v>252101.25</v>
      </c>
      <c r="H8" s="32">
        <f t="shared" si="0"/>
        <v>726846.25</v>
      </c>
      <c r="I8" s="32">
        <f t="shared" si="0"/>
        <v>499125</v>
      </c>
      <c r="J8" s="32">
        <f t="shared" si="0"/>
        <v>769106.25</v>
      </c>
      <c r="K8" s="32">
        <f t="shared" si="0"/>
        <v>586644.5</v>
      </c>
      <c r="L8" s="32">
        <f t="shared" si="0"/>
        <v>562581.5</v>
      </c>
      <c r="M8" s="32">
        <f t="shared" si="0"/>
        <v>383418.75</v>
      </c>
      <c r="N8" s="32">
        <f t="shared" si="0"/>
        <v>408912.875</v>
      </c>
      <c r="O8" s="32">
        <f t="shared" si="0"/>
        <v>346037.625</v>
      </c>
      <c r="P8" s="32">
        <f t="shared" si="0"/>
        <v>439175.75</v>
      </c>
      <c r="Q8" s="32">
        <f t="shared" si="0"/>
        <v>798531.5</v>
      </c>
      <c r="R8" s="32">
        <f t="shared" si="0"/>
        <v>856025</v>
      </c>
      <c r="S8" s="32">
        <f t="shared" si="0"/>
        <v>390231.625</v>
      </c>
      <c r="T8" s="32">
        <f t="shared" si="0"/>
        <v>944900.125</v>
      </c>
      <c r="U8" s="32">
        <f t="shared" si="0"/>
        <v>873862.5</v>
      </c>
      <c r="V8" s="32">
        <f t="shared" si="0"/>
        <v>192975</v>
      </c>
      <c r="W8" s="48">
        <f>SUM(C8:V8)</f>
        <v>10678308</v>
      </c>
    </row>
    <row r="9" spans="1:23" x14ac:dyDescent="0.15">
      <c r="A9" s="9"/>
      <c r="B9" s="28" t="s">
        <v>32</v>
      </c>
      <c r="C9" s="1">
        <v>0</v>
      </c>
      <c r="D9" s="4">
        <v>-315000</v>
      </c>
      <c r="E9" s="4">
        <v>-500000</v>
      </c>
      <c r="F9" s="4">
        <v>-500000</v>
      </c>
      <c r="G9" s="4">
        <v>-500000</v>
      </c>
      <c r="H9" s="4">
        <v>-500000</v>
      </c>
      <c r="I9" s="4">
        <v>0</v>
      </c>
      <c r="J9" s="4">
        <v>0</v>
      </c>
      <c r="K9" s="3">
        <f>-Assumptions!$B$4</f>
        <v>-500000</v>
      </c>
      <c r="L9" s="3">
        <f>-Assumptions!$B$4</f>
        <v>-500000</v>
      </c>
      <c r="M9" s="3">
        <f>-Assumptions!$B$4</f>
        <v>-500000</v>
      </c>
      <c r="N9" s="3">
        <f>-Assumptions!$B$4</f>
        <v>-500000</v>
      </c>
      <c r="O9" s="3">
        <f>-Assumptions!$B$4</f>
        <v>-500000</v>
      </c>
      <c r="P9" s="3">
        <f>-Assumptions!$B$4</f>
        <v>-500000</v>
      </c>
      <c r="Q9" s="3">
        <f>-Assumptions!$B$4</f>
        <v>-500000</v>
      </c>
      <c r="R9" s="3">
        <f>-Assumptions!$B$4</f>
        <v>-500000</v>
      </c>
      <c r="S9" s="3">
        <f>-Assumptions!$B$4</f>
        <v>-500000</v>
      </c>
      <c r="T9" s="3">
        <f>-Assumptions!$B$4</f>
        <v>-500000</v>
      </c>
      <c r="U9" s="3">
        <f>-Assumptions!$B$4</f>
        <v>-500000</v>
      </c>
      <c r="V9" s="3">
        <f>-Assumptions!$B$4</f>
        <v>-500000</v>
      </c>
      <c r="W9" s="49">
        <f>SUM(C9:V9)</f>
        <v>-8315000</v>
      </c>
    </row>
    <row r="10" spans="1:23" x14ac:dyDescent="0.15">
      <c r="A10" s="29"/>
      <c r="B10" s="30" t="s">
        <v>70</v>
      </c>
      <c r="C10" s="32">
        <f>C8+C9</f>
        <v>181500</v>
      </c>
      <c r="D10" s="32">
        <f>D8+D9</f>
        <v>22827.5</v>
      </c>
      <c r="E10" s="32">
        <f t="shared" ref="E10:V10" si="1">E8+E9</f>
        <v>114255</v>
      </c>
      <c r="F10" s="32">
        <f t="shared" si="1"/>
        <v>14250</v>
      </c>
      <c r="G10" s="32">
        <f t="shared" si="1"/>
        <v>-247898.75</v>
      </c>
      <c r="H10" s="32">
        <f t="shared" si="1"/>
        <v>226846.25</v>
      </c>
      <c r="I10" s="32">
        <f t="shared" si="1"/>
        <v>499125</v>
      </c>
      <c r="J10" s="32">
        <f t="shared" si="1"/>
        <v>769106.25</v>
      </c>
      <c r="K10" s="32">
        <f t="shared" si="1"/>
        <v>86644.5</v>
      </c>
      <c r="L10" s="32">
        <f t="shared" si="1"/>
        <v>62581.5</v>
      </c>
      <c r="M10" s="32">
        <f t="shared" si="1"/>
        <v>-116581.25</v>
      </c>
      <c r="N10" s="32">
        <f t="shared" si="1"/>
        <v>-91087.125</v>
      </c>
      <c r="O10" s="32">
        <f t="shared" si="1"/>
        <v>-153962.375</v>
      </c>
      <c r="P10" s="32">
        <f t="shared" si="1"/>
        <v>-60824.25</v>
      </c>
      <c r="Q10" s="32">
        <f t="shared" si="1"/>
        <v>298531.5</v>
      </c>
      <c r="R10" s="32">
        <f t="shared" si="1"/>
        <v>356025</v>
      </c>
      <c r="S10" s="32">
        <f t="shared" si="1"/>
        <v>-109768.375</v>
      </c>
      <c r="T10" s="32">
        <f t="shared" si="1"/>
        <v>444900.125</v>
      </c>
      <c r="U10" s="32">
        <f t="shared" si="1"/>
        <v>373862.5</v>
      </c>
      <c r="V10" s="32">
        <f t="shared" si="1"/>
        <v>-307025</v>
      </c>
      <c r="W10" s="48">
        <f>SUM(C10:V10)</f>
        <v>2363308</v>
      </c>
    </row>
    <row r="11" spans="1:23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45"/>
    </row>
    <row r="12" spans="1:23" ht="22" customHeight="1" x14ac:dyDescent="0.15">
      <c r="A12" s="14" t="s">
        <v>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59"/>
    </row>
    <row r="13" spans="1:23" x14ac:dyDescent="0.15">
      <c r="A13" s="9"/>
      <c r="B13" s="24" t="s">
        <v>71</v>
      </c>
      <c r="C13" s="1">
        <v>0</v>
      </c>
      <c r="D13" s="3">
        <f>'P&amp;L'!C17</f>
        <v>0</v>
      </c>
      <c r="E13" s="3">
        <f>'P&amp;L'!D17</f>
        <v>0</v>
      </c>
      <c r="F13" s="3">
        <f>'P&amp;L'!E17</f>
        <v>0</v>
      </c>
      <c r="G13" s="3">
        <f>'P&amp;L'!F17</f>
        <v>2287000</v>
      </c>
      <c r="H13" s="3">
        <f>'P&amp;L'!G17</f>
        <v>0</v>
      </c>
      <c r="I13" s="3">
        <f>'P&amp;L'!H17</f>
        <v>889388.88888888888</v>
      </c>
      <c r="J13" s="3">
        <f>'P&amp;L'!I17</f>
        <v>508222.22222222225</v>
      </c>
      <c r="K13" s="3">
        <f>'P&amp;L'!J17</f>
        <v>508222.22222222225</v>
      </c>
      <c r="L13" s="3">
        <f>'P&amp;L'!K17</f>
        <v>508222.22222222225</v>
      </c>
      <c r="M13" s="3">
        <f>'P&amp;L'!L17</f>
        <v>508222.22222222225</v>
      </c>
      <c r="N13" s="3">
        <f>'P&amp;L'!M17</f>
        <v>508222.22222222225</v>
      </c>
      <c r="O13" s="3">
        <f>'P&amp;L'!N17</f>
        <v>508222.22222222225</v>
      </c>
      <c r="P13" s="3">
        <f>'P&amp;L'!O17</f>
        <v>508222.22222222225</v>
      </c>
      <c r="Q13" s="3">
        <f>'P&amp;L'!P17</f>
        <v>508222.22222222225</v>
      </c>
      <c r="R13" s="3">
        <f>'P&amp;L'!Q17</f>
        <v>508222.22222222225</v>
      </c>
      <c r="S13" s="3">
        <f>'P&amp;L'!R17</f>
        <v>508222.22222222225</v>
      </c>
      <c r="T13" s="3">
        <f>'P&amp;L'!S17</f>
        <v>508222.22222222225</v>
      </c>
      <c r="U13" s="3">
        <f>'P&amp;L'!T17</f>
        <v>508222.22222222225</v>
      </c>
      <c r="V13" s="3">
        <f>'P&amp;L'!U17</f>
        <v>508222.22222222225</v>
      </c>
      <c r="W13" s="47">
        <f t="shared" ref="W13:W24" si="2">SUM(C13:V13)</f>
        <v>9783277.7777777761</v>
      </c>
    </row>
    <row r="14" spans="1:23" x14ac:dyDescent="0.15">
      <c r="A14" s="9"/>
      <c r="B14" s="24" t="s">
        <v>33</v>
      </c>
      <c r="D14" s="4">
        <v>-103500</v>
      </c>
      <c r="F14" s="4">
        <v>-243800</v>
      </c>
      <c r="W14" s="47">
        <f t="shared" si="2"/>
        <v>-347300</v>
      </c>
    </row>
    <row r="15" spans="1:23" x14ac:dyDescent="0.15">
      <c r="A15" s="9"/>
      <c r="B15" s="24" t="s">
        <v>34</v>
      </c>
      <c r="E15" s="4">
        <v>-91066</v>
      </c>
      <c r="H15" s="4">
        <v>-72400</v>
      </c>
      <c r="W15" s="47">
        <f t="shared" si="2"/>
        <v>-163466</v>
      </c>
    </row>
    <row r="16" spans="1:23" x14ac:dyDescent="0.15">
      <c r="A16" s="9"/>
      <c r="B16" s="24" t="s">
        <v>35</v>
      </c>
      <c r="E16" s="4">
        <v>-405950</v>
      </c>
      <c r="G16" s="4">
        <v>-319000</v>
      </c>
      <c r="W16" s="47">
        <f t="shared" si="2"/>
        <v>-724950</v>
      </c>
    </row>
    <row r="17" spans="1:23" x14ac:dyDescent="0.15">
      <c r="A17" s="9"/>
      <c r="B17" s="24" t="s">
        <v>36</v>
      </c>
      <c r="D17" s="4">
        <v>-14375</v>
      </c>
      <c r="W17" s="47">
        <f t="shared" si="2"/>
        <v>-14375</v>
      </c>
    </row>
    <row r="18" spans="1:23" x14ac:dyDescent="0.15">
      <c r="A18" s="9"/>
      <c r="B18" s="24" t="s">
        <v>37</v>
      </c>
      <c r="E18" s="4">
        <v>-51750</v>
      </c>
      <c r="H18" s="4">
        <v>-28000</v>
      </c>
      <c r="W18" s="47">
        <f t="shared" si="2"/>
        <v>-79750</v>
      </c>
    </row>
    <row r="19" spans="1:23" x14ac:dyDescent="0.15">
      <c r="A19" s="9"/>
      <c r="B19" s="24" t="s">
        <v>38</v>
      </c>
      <c r="F19" s="4">
        <v>-373350</v>
      </c>
      <c r="G19" s="4">
        <v>-293250</v>
      </c>
      <c r="W19" s="47">
        <f t="shared" si="2"/>
        <v>-666600</v>
      </c>
    </row>
    <row r="20" spans="1:23" x14ac:dyDescent="0.15">
      <c r="A20" s="9"/>
      <c r="B20" s="24" t="s">
        <v>14</v>
      </c>
      <c r="G20" s="4">
        <v>-630000</v>
      </c>
      <c r="I20" s="4">
        <v>-495571</v>
      </c>
      <c r="W20" s="47">
        <f t="shared" si="2"/>
        <v>-1125571</v>
      </c>
    </row>
    <row r="21" spans="1:23" x14ac:dyDescent="0.15">
      <c r="A21" s="9"/>
      <c r="B21" s="24" t="s">
        <v>72</v>
      </c>
      <c r="E21" s="4">
        <v>-57500</v>
      </c>
      <c r="K21" s="3">
        <f>-Assumptions!$B$28</f>
        <v>-10000</v>
      </c>
      <c r="L21" s="3">
        <f>-Assumptions!$B$28</f>
        <v>-10000</v>
      </c>
      <c r="M21" s="3">
        <f>-Assumptions!$B$28</f>
        <v>-10000</v>
      </c>
      <c r="N21" s="3">
        <f>-Assumptions!$B$28</f>
        <v>-10000</v>
      </c>
      <c r="O21" s="3">
        <f>-Assumptions!$B$28</f>
        <v>-10000</v>
      </c>
      <c r="P21" s="3">
        <f>-Assumptions!$B$28</f>
        <v>-10000</v>
      </c>
      <c r="Q21" s="3">
        <f>-Assumptions!$B$28</f>
        <v>-10000</v>
      </c>
      <c r="R21" s="3">
        <f>-Assumptions!$B$28</f>
        <v>-10000</v>
      </c>
      <c r="S21" s="3">
        <f>-Assumptions!$B$28</f>
        <v>-10000</v>
      </c>
      <c r="T21" s="3">
        <f>-Assumptions!$B$28</f>
        <v>-10000</v>
      </c>
      <c r="U21" s="3">
        <f>-Assumptions!$B$28</f>
        <v>-10000</v>
      </c>
      <c r="V21" s="3">
        <f>-Assumptions!$B$28</f>
        <v>-10000</v>
      </c>
      <c r="W21" s="47">
        <f t="shared" si="2"/>
        <v>-177500</v>
      </c>
    </row>
    <row r="22" spans="1:23" x14ac:dyDescent="0.15">
      <c r="A22" s="9"/>
      <c r="B22" s="28" t="s">
        <v>73</v>
      </c>
      <c r="K22" s="3">
        <f>-Assumptions!$B$15*Assumptions!$B$16*(Assumptions!$B$25-Assumptions!$B$20)</f>
        <v>-264275.55555555556</v>
      </c>
      <c r="L22" s="3">
        <f>-Assumptions!$B$15*Assumptions!$B$16*(Assumptions!$B$25-Assumptions!$B$20)</f>
        <v>-264275.55555555556</v>
      </c>
      <c r="M22" s="3">
        <f>-Assumptions!$B$15*Assumptions!$B$16*(Assumptions!$B$25-Assumptions!$B$20)</f>
        <v>-264275.55555555556</v>
      </c>
      <c r="N22" s="3">
        <f>-Assumptions!$B$15*Assumptions!$B$16*(Assumptions!$B$25-Assumptions!$B$20)</f>
        <v>-264275.55555555556</v>
      </c>
      <c r="O22" s="3">
        <f>-Assumptions!$B$15*Assumptions!$B$16*(Assumptions!$B$25-Assumptions!$B$20)</f>
        <v>-264275.55555555556</v>
      </c>
      <c r="P22" s="3">
        <f>-Assumptions!$B$15*Assumptions!$B$16*(Assumptions!$B$25-Assumptions!$B$20)</f>
        <v>-264275.55555555556</v>
      </c>
      <c r="Q22" s="3">
        <f>-Assumptions!$B$15*Assumptions!$B$16*(Assumptions!$B$25-Assumptions!$B$20)</f>
        <v>-264275.55555555556</v>
      </c>
      <c r="R22" s="3">
        <f>-Assumptions!$B$15*Assumptions!$B$16*(Assumptions!$B$25-Assumptions!$B$20)</f>
        <v>-264275.55555555556</v>
      </c>
      <c r="S22" s="3">
        <f>-Assumptions!$B$15*Assumptions!$B$16*(Assumptions!$B$25-Assumptions!$B$20)</f>
        <v>-264275.55555555556</v>
      </c>
      <c r="T22" s="3">
        <f>-Assumptions!$B$15*Assumptions!$B$16*(Assumptions!$B$25-Assumptions!$B$20)</f>
        <v>-264275.55555555556</v>
      </c>
      <c r="U22" s="3">
        <f>-Assumptions!$B$15*Assumptions!$B$16*(Assumptions!$B$25-Assumptions!$B$20)</f>
        <v>-264275.55555555556</v>
      </c>
      <c r="V22" s="3">
        <f>-Assumptions!$B$15*Assumptions!$B$16*(Assumptions!$B$25-Assumptions!$B$20)</f>
        <v>-264275.55555555556</v>
      </c>
      <c r="W22" s="49">
        <f t="shared" si="2"/>
        <v>-3171306.6666666665</v>
      </c>
    </row>
    <row r="23" spans="1:23" x14ac:dyDescent="0.15">
      <c r="A23" s="29"/>
      <c r="B23" s="30" t="s">
        <v>74</v>
      </c>
      <c r="C23" s="32">
        <f>SUM(C14:C22)</f>
        <v>0</v>
      </c>
      <c r="D23" s="32">
        <f>SUM(D14:D22)</f>
        <v>-117875</v>
      </c>
      <c r="E23" s="32">
        <f t="shared" ref="E23:V23" si="3">SUM(E14:E22)</f>
        <v>-606266</v>
      </c>
      <c r="F23" s="32">
        <f t="shared" si="3"/>
        <v>-617150</v>
      </c>
      <c r="G23" s="32">
        <f t="shared" si="3"/>
        <v>-1242250</v>
      </c>
      <c r="H23" s="32">
        <f t="shared" si="3"/>
        <v>-100400</v>
      </c>
      <c r="I23" s="32">
        <f t="shared" si="3"/>
        <v>-495571</v>
      </c>
      <c r="J23" s="32">
        <f t="shared" si="3"/>
        <v>0</v>
      </c>
      <c r="K23" s="32">
        <f t="shared" si="3"/>
        <v>-274275.55555555556</v>
      </c>
      <c r="L23" s="32">
        <f t="shared" si="3"/>
        <v>-274275.55555555556</v>
      </c>
      <c r="M23" s="32">
        <f t="shared" si="3"/>
        <v>-274275.55555555556</v>
      </c>
      <c r="N23" s="32">
        <f t="shared" si="3"/>
        <v>-274275.55555555556</v>
      </c>
      <c r="O23" s="32">
        <f t="shared" si="3"/>
        <v>-274275.55555555556</v>
      </c>
      <c r="P23" s="32">
        <f t="shared" si="3"/>
        <v>-274275.55555555556</v>
      </c>
      <c r="Q23" s="32">
        <f t="shared" si="3"/>
        <v>-274275.55555555556</v>
      </c>
      <c r="R23" s="32">
        <f t="shared" si="3"/>
        <v>-274275.55555555556</v>
      </c>
      <c r="S23" s="32">
        <f t="shared" si="3"/>
        <v>-274275.55555555556</v>
      </c>
      <c r="T23" s="32">
        <f t="shared" si="3"/>
        <v>-274275.55555555556</v>
      </c>
      <c r="U23" s="32">
        <f t="shared" si="3"/>
        <v>-274275.55555555556</v>
      </c>
      <c r="V23" s="32">
        <f t="shared" si="3"/>
        <v>-274275.55555555556</v>
      </c>
      <c r="W23" s="48">
        <f t="shared" si="2"/>
        <v>-6470818.6666666698</v>
      </c>
    </row>
    <row r="24" spans="1:23" x14ac:dyDescent="0.15">
      <c r="A24" s="29"/>
      <c r="B24" s="30" t="s">
        <v>75</v>
      </c>
      <c r="C24" s="32">
        <f>C13+C23</f>
        <v>0</v>
      </c>
      <c r="D24" s="32">
        <f>D13+D23</f>
        <v>-117875</v>
      </c>
      <c r="E24" s="32">
        <f t="shared" ref="E24:V24" si="4">E13+E23</f>
        <v>-606266</v>
      </c>
      <c r="F24" s="32">
        <f t="shared" si="4"/>
        <v>-617150</v>
      </c>
      <c r="G24" s="32">
        <f t="shared" si="4"/>
        <v>1044750</v>
      </c>
      <c r="H24" s="32">
        <f t="shared" si="4"/>
        <v>-100400</v>
      </c>
      <c r="I24" s="32">
        <f t="shared" si="4"/>
        <v>393817.88888888888</v>
      </c>
      <c r="J24" s="32">
        <f t="shared" si="4"/>
        <v>508222.22222222225</v>
      </c>
      <c r="K24" s="32">
        <f t="shared" si="4"/>
        <v>233946.66666666669</v>
      </c>
      <c r="L24" s="32">
        <f t="shared" si="4"/>
        <v>233946.66666666669</v>
      </c>
      <c r="M24" s="32">
        <f t="shared" si="4"/>
        <v>233946.66666666669</v>
      </c>
      <c r="N24" s="32">
        <f t="shared" si="4"/>
        <v>233946.66666666669</v>
      </c>
      <c r="O24" s="32">
        <f t="shared" si="4"/>
        <v>233946.66666666669</v>
      </c>
      <c r="P24" s="32">
        <f t="shared" si="4"/>
        <v>233946.66666666669</v>
      </c>
      <c r="Q24" s="32">
        <f t="shared" si="4"/>
        <v>233946.66666666669</v>
      </c>
      <c r="R24" s="32">
        <f t="shared" si="4"/>
        <v>233946.66666666669</v>
      </c>
      <c r="S24" s="32">
        <f t="shared" si="4"/>
        <v>233946.66666666669</v>
      </c>
      <c r="T24" s="32">
        <f t="shared" si="4"/>
        <v>233946.66666666669</v>
      </c>
      <c r="U24" s="32">
        <f t="shared" si="4"/>
        <v>233946.66666666669</v>
      </c>
      <c r="V24" s="32">
        <f t="shared" si="4"/>
        <v>233946.66666666669</v>
      </c>
      <c r="W24" s="48">
        <f t="shared" si="2"/>
        <v>3312459.1111111105</v>
      </c>
    </row>
    <row r="25" spans="1:23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43"/>
    </row>
    <row r="26" spans="1:23" x14ac:dyDescent="0.15">
      <c r="A26" s="35" t="s">
        <v>61</v>
      </c>
      <c r="B26" s="35" t="s">
        <v>39</v>
      </c>
      <c r="C26" s="36">
        <f>C10+C24</f>
        <v>181500</v>
      </c>
      <c r="D26" s="36">
        <f>D10+D24</f>
        <v>-95047.5</v>
      </c>
      <c r="E26" s="36">
        <f t="shared" ref="E26:V26" si="5">E10+E24</f>
        <v>-492011</v>
      </c>
      <c r="F26" s="36">
        <f t="shared" si="5"/>
        <v>-602900</v>
      </c>
      <c r="G26" s="36">
        <f t="shared" si="5"/>
        <v>796851.25</v>
      </c>
      <c r="H26" s="36">
        <f t="shared" si="5"/>
        <v>126446.25</v>
      </c>
      <c r="I26" s="36">
        <f t="shared" si="5"/>
        <v>892942.88888888888</v>
      </c>
      <c r="J26" s="36">
        <f t="shared" si="5"/>
        <v>1277328.4722222222</v>
      </c>
      <c r="K26" s="36">
        <f t="shared" si="5"/>
        <v>320591.16666666669</v>
      </c>
      <c r="L26" s="36">
        <f t="shared" si="5"/>
        <v>296528.16666666669</v>
      </c>
      <c r="M26" s="36">
        <f t="shared" si="5"/>
        <v>117365.41666666669</v>
      </c>
      <c r="N26" s="36">
        <f t="shared" si="5"/>
        <v>142859.54166666669</v>
      </c>
      <c r="O26" s="36">
        <f t="shared" si="5"/>
        <v>79984.291666666686</v>
      </c>
      <c r="P26" s="36">
        <f t="shared" si="5"/>
        <v>173122.41666666669</v>
      </c>
      <c r="Q26" s="36">
        <f t="shared" si="5"/>
        <v>532478.16666666674</v>
      </c>
      <c r="R26" s="36">
        <f t="shared" si="5"/>
        <v>589971.66666666674</v>
      </c>
      <c r="S26" s="36">
        <f t="shared" si="5"/>
        <v>124178.29166666669</v>
      </c>
      <c r="T26" s="36">
        <f t="shared" si="5"/>
        <v>678846.79166666674</v>
      </c>
      <c r="U26" s="36">
        <f t="shared" si="5"/>
        <v>607809.16666666674</v>
      </c>
      <c r="V26" s="36">
        <f t="shared" si="5"/>
        <v>-73078.333333333314</v>
      </c>
      <c r="W26" s="53">
        <f>SUM(C26:V26)</f>
        <v>5675767.1111111119</v>
      </c>
    </row>
    <row r="27" spans="1:23" ht="14" thickBot="1" x14ac:dyDescent="0.2">
      <c r="A27" s="57"/>
      <c r="B27" s="57" t="s">
        <v>40</v>
      </c>
      <c r="C27" s="58">
        <f>Assumptions!$B$31+C26</f>
        <v>-365500</v>
      </c>
      <c r="D27" s="58">
        <f>C27+D26</f>
        <v>-460547.5</v>
      </c>
      <c r="E27" s="58">
        <f t="shared" ref="E27:V27" si="6">D27+E26</f>
        <v>-952558.5</v>
      </c>
      <c r="F27" s="58">
        <f t="shared" si="6"/>
        <v>-1555458.5</v>
      </c>
      <c r="G27" s="58">
        <f t="shared" si="6"/>
        <v>-758607.25</v>
      </c>
      <c r="H27" s="58">
        <f t="shared" si="6"/>
        <v>-632161</v>
      </c>
      <c r="I27" s="58">
        <f t="shared" si="6"/>
        <v>260781.88888888888</v>
      </c>
      <c r="J27" s="58">
        <f t="shared" si="6"/>
        <v>1538110.361111111</v>
      </c>
      <c r="K27" s="58">
        <f t="shared" si="6"/>
        <v>1858701.5277777778</v>
      </c>
      <c r="L27" s="58">
        <f t="shared" si="6"/>
        <v>2155229.6944444445</v>
      </c>
      <c r="M27" s="58">
        <f t="shared" si="6"/>
        <v>2272595.111111111</v>
      </c>
      <c r="N27" s="58">
        <f t="shared" si="6"/>
        <v>2415454.6527777775</v>
      </c>
      <c r="O27" s="58">
        <f t="shared" si="6"/>
        <v>2495438.944444444</v>
      </c>
      <c r="P27" s="58">
        <f t="shared" si="6"/>
        <v>2668561.3611111105</v>
      </c>
      <c r="Q27" s="58">
        <f t="shared" si="6"/>
        <v>3201039.5277777771</v>
      </c>
      <c r="R27" s="58">
        <f t="shared" si="6"/>
        <v>3791011.194444444</v>
      </c>
      <c r="S27" s="58">
        <f t="shared" si="6"/>
        <v>3915189.4861111105</v>
      </c>
      <c r="T27" s="58">
        <f t="shared" si="6"/>
        <v>4594036.2777777771</v>
      </c>
      <c r="U27" s="58">
        <f t="shared" si="6"/>
        <v>5201845.444444444</v>
      </c>
      <c r="V27" s="58">
        <f t="shared" si="6"/>
        <v>5128767.111111111</v>
      </c>
      <c r="W27" s="60">
        <f>V27</f>
        <v>5128767.111111111</v>
      </c>
    </row>
  </sheetData>
  <mergeCells count="1">
    <mergeCell ref="A1:W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811E-47C8-6F4C-9772-041008F0561F}">
  <sheetPr>
    <tabColor rgb="FF4A6B47"/>
  </sheetPr>
  <dimension ref="A1:B17"/>
  <sheetViews>
    <sheetView workbookViewId="0">
      <selection activeCell="B16" sqref="B16"/>
    </sheetView>
  </sheetViews>
  <sheetFormatPr baseColWidth="10" defaultRowHeight="13" x14ac:dyDescent="0.15"/>
  <cols>
    <col min="1" max="1" width="53.33203125" customWidth="1"/>
    <col min="2" max="2" width="26.6640625" customWidth="1"/>
  </cols>
  <sheetData>
    <row r="1" spans="1:2" ht="32" customHeight="1" x14ac:dyDescent="0.15">
      <c r="A1" s="69" t="s">
        <v>76</v>
      </c>
      <c r="B1" s="69"/>
    </row>
    <row r="2" spans="1:2" ht="6" customHeight="1" x14ac:dyDescent="0.15">
      <c r="A2" s="9"/>
      <c r="B2" s="9"/>
    </row>
    <row r="3" spans="1:2" ht="22" customHeight="1" x14ac:dyDescent="0.15">
      <c r="A3" s="14" t="s">
        <v>77</v>
      </c>
      <c r="B3" s="14"/>
    </row>
    <row r="4" spans="1:2" x14ac:dyDescent="0.15">
      <c r="A4" s="24" t="s">
        <v>78</v>
      </c>
      <c r="B4" s="25">
        <f>'P&amp;L'!W28</f>
        <v>20969808.000000004</v>
      </c>
    </row>
    <row r="5" spans="1:2" x14ac:dyDescent="0.15">
      <c r="A5" s="24" t="s">
        <v>41</v>
      </c>
      <c r="B5" s="25">
        <f>'P&amp;L'!W30</f>
        <v>6077376.2400000012</v>
      </c>
    </row>
    <row r="6" spans="1:2" x14ac:dyDescent="0.15">
      <c r="A6" s="24" t="s">
        <v>79</v>
      </c>
      <c r="B6" s="65">
        <f>'P&amp;L'!W31</f>
        <v>0.2898155405142479</v>
      </c>
    </row>
    <row r="7" spans="1:2" x14ac:dyDescent="0.15">
      <c r="A7" s="12" t="s">
        <v>42</v>
      </c>
      <c r="B7" s="18">
        <f>'P&amp;L'!W33</f>
        <v>5887376.2400000012</v>
      </c>
    </row>
    <row r="8" spans="1:2" x14ac:dyDescent="0.15">
      <c r="A8" s="12" t="s">
        <v>80</v>
      </c>
      <c r="B8" s="66">
        <f>'P&amp;L'!W34</f>
        <v>0.28075489484691513</v>
      </c>
    </row>
    <row r="9" spans="1:2" x14ac:dyDescent="0.15">
      <c r="A9" s="9"/>
      <c r="B9" s="9"/>
    </row>
    <row r="10" spans="1:2" ht="22" customHeight="1" x14ac:dyDescent="0.15">
      <c r="A10" s="14" t="s">
        <v>81</v>
      </c>
      <c r="B10" s="14"/>
    </row>
    <row r="11" spans="1:2" x14ac:dyDescent="0.15">
      <c r="A11" s="13" t="s">
        <v>82</v>
      </c>
      <c r="B11" s="67">
        <f>MIN(Cashflow!C27:V27)</f>
        <v>-1555458.5</v>
      </c>
    </row>
    <row r="12" spans="1:2" x14ac:dyDescent="0.15">
      <c r="A12" s="17" t="s">
        <v>83</v>
      </c>
      <c r="B12" s="68">
        <f>INDEX(Cashflow!$C$3:$V$3,MATCH(MIN(Cashflow!$C$27:$V$27),Cashflow!$C$27:$V$27,0))</f>
        <v>46235</v>
      </c>
    </row>
    <row r="13" spans="1:2" x14ac:dyDescent="0.15">
      <c r="A13" s="12" t="s">
        <v>84</v>
      </c>
      <c r="B13" s="18">
        <f>Cashflow!V27</f>
        <v>5128767.111111111</v>
      </c>
    </row>
    <row r="14" spans="1:2" x14ac:dyDescent="0.15">
      <c r="A14" s="24" t="s">
        <v>85</v>
      </c>
      <c r="B14" s="25">
        <f>Cashflow!W26</f>
        <v>5675767.1111111119</v>
      </c>
    </row>
    <row r="15" spans="1:2" x14ac:dyDescent="0.15">
      <c r="A15" s="9"/>
      <c r="B15" s="9"/>
    </row>
    <row r="16" spans="1:2" ht="22" customHeight="1" x14ac:dyDescent="0.15">
      <c r="A16" s="14" t="s">
        <v>86</v>
      </c>
      <c r="B16" s="14"/>
    </row>
    <row r="17" spans="1:2" x14ac:dyDescent="0.15">
      <c r="A17" s="24" t="s">
        <v>87</v>
      </c>
      <c r="B17" s="25">
        <f>'P&amp;L'!V17</f>
        <v>508222.22222222225</v>
      </c>
    </row>
  </sheetData>
  <mergeCells count="1">
    <mergeCell ref="A1:B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530B-5A21-5D40-A419-739A67616ECE}">
  <dimension ref="A1:D51"/>
  <sheetViews>
    <sheetView tabSelected="1" workbookViewId="0">
      <selection activeCell="B37" sqref="B37"/>
    </sheetView>
  </sheetViews>
  <sheetFormatPr baseColWidth="10" defaultRowHeight="13" x14ac:dyDescent="0.15"/>
  <cols>
    <col min="1" max="1" width="46.6640625" customWidth="1"/>
    <col min="2" max="4" width="21.6640625" customWidth="1"/>
  </cols>
  <sheetData>
    <row r="1" spans="1:4" ht="20" x14ac:dyDescent="0.2">
      <c r="A1" s="71" t="s">
        <v>89</v>
      </c>
      <c r="B1" s="72"/>
      <c r="C1" s="72"/>
      <c r="D1" s="72"/>
    </row>
    <row r="3" spans="1:4" ht="14" x14ac:dyDescent="0.15">
      <c r="A3" s="73" t="s">
        <v>90</v>
      </c>
      <c r="B3" s="74" t="s">
        <v>91</v>
      </c>
      <c r="C3" s="74" t="s">
        <v>92</v>
      </c>
      <c r="D3" s="74" t="s">
        <v>93</v>
      </c>
    </row>
    <row r="4" spans="1:4" x14ac:dyDescent="0.15">
      <c r="A4" s="24" t="s">
        <v>62</v>
      </c>
      <c r="B4" s="25">
        <f>SUM('P&amp;L'!D28:J28)</f>
        <v>7409488.333333333</v>
      </c>
      <c r="C4" s="25">
        <f>SUM('P&amp;L'!K28:V28)</f>
        <v>13560319.666666666</v>
      </c>
      <c r="D4" s="25">
        <f>'P&amp;L'!W28</f>
        <v>20969808.000000004</v>
      </c>
    </row>
    <row r="5" spans="1:4" x14ac:dyDescent="0.15">
      <c r="A5" s="24" t="s">
        <v>94</v>
      </c>
      <c r="B5" s="25">
        <f>SUM('P&amp;L'!D30:J30)</f>
        <v>2158513.4000000004</v>
      </c>
      <c r="C5" s="25">
        <f>SUM('P&amp;L'!K30:V30)</f>
        <v>3918862.84</v>
      </c>
      <c r="D5" s="25">
        <f>'P&amp;L'!W30</f>
        <v>6077376.2400000012</v>
      </c>
    </row>
    <row r="6" spans="1:4" x14ac:dyDescent="0.15">
      <c r="A6" s="24" t="s">
        <v>65</v>
      </c>
      <c r="B6" s="65">
        <f>IFERROR(B5/B4,0)</f>
        <v>0.29131747063956065</v>
      </c>
      <c r="C6" s="65">
        <f>IFERROR(C5/C4,0)</f>
        <v>0.2889948715319125</v>
      </c>
      <c r="D6" s="65">
        <f>IFERROR(D5/D4,0)</f>
        <v>0.2898155405142479</v>
      </c>
    </row>
    <row r="7" spans="1:4" x14ac:dyDescent="0.15">
      <c r="A7" s="75" t="s">
        <v>30</v>
      </c>
      <c r="B7" s="76">
        <f>SUM('P&amp;L'!D33:J33)</f>
        <v>2088513.4000000004</v>
      </c>
      <c r="C7" s="76">
        <f>SUM('P&amp;L'!K33:V33)</f>
        <v>3798862.84</v>
      </c>
      <c r="D7" s="76">
        <f>'P&amp;L'!W33</f>
        <v>5887376.2400000012</v>
      </c>
    </row>
    <row r="8" spans="1:4" x14ac:dyDescent="0.15">
      <c r="A8" s="75" t="s">
        <v>31</v>
      </c>
      <c r="B8" s="77">
        <f>IFERROR(B7/B4,0)</f>
        <v>0.28187012463523692</v>
      </c>
      <c r="C8" s="77">
        <f>IFERROR(C7/C4,0)</f>
        <v>0.28014552262644549</v>
      </c>
      <c r="D8" s="77">
        <f>IFERROR(D7/D4,0)</f>
        <v>0.28075489484691513</v>
      </c>
    </row>
    <row r="10" spans="1:4" x14ac:dyDescent="0.15">
      <c r="A10" s="22" t="s">
        <v>95</v>
      </c>
      <c r="B10" s="78" t="s">
        <v>96</v>
      </c>
      <c r="C10" s="78" t="s">
        <v>30</v>
      </c>
      <c r="D10" s="78" t="s">
        <v>97</v>
      </c>
    </row>
    <row r="11" spans="1:4" x14ac:dyDescent="0.15">
      <c r="A11" s="24" t="s">
        <v>98</v>
      </c>
      <c r="B11" s="25">
        <f>SUM('P&amp;L'!Q28:V28)*2</f>
        <v>14932769.666666666</v>
      </c>
      <c r="C11" s="25">
        <f>SUM('P&amp;L'!Q33:V33)*2</f>
        <v>4183148.8400000003</v>
      </c>
      <c r="D11" s="65">
        <f>IFERROR(C11/B11,0)</f>
        <v>0.28013214784513407</v>
      </c>
    </row>
    <row r="13" spans="1:4" ht="14" x14ac:dyDescent="0.15">
      <c r="A13" s="73" t="s">
        <v>99</v>
      </c>
      <c r="B13" s="74" t="s">
        <v>100</v>
      </c>
      <c r="C13" s="74" t="s">
        <v>101</v>
      </c>
      <c r="D13" s="74" t="s">
        <v>102</v>
      </c>
    </row>
    <row r="14" spans="1:4" x14ac:dyDescent="0.15">
      <c r="A14" s="24" t="s">
        <v>103</v>
      </c>
      <c r="B14" s="79">
        <v>6</v>
      </c>
      <c r="C14" s="79">
        <v>9</v>
      </c>
      <c r="D14" s="79">
        <v>12</v>
      </c>
    </row>
    <row r="15" spans="1:4" x14ac:dyDescent="0.15">
      <c r="A15" s="24" t="s">
        <v>104</v>
      </c>
      <c r="B15" s="80">
        <f>$C$7</f>
        <v>3798862.84</v>
      </c>
      <c r="C15" s="80">
        <f>$C$7</f>
        <v>3798862.84</v>
      </c>
      <c r="D15" s="80">
        <f>$C$7</f>
        <v>3798862.84</v>
      </c>
    </row>
    <row r="16" spans="1:4" x14ac:dyDescent="0.15">
      <c r="A16" s="75" t="s">
        <v>105</v>
      </c>
      <c r="B16" s="76">
        <f>B14*B15</f>
        <v>22793177.039999999</v>
      </c>
      <c r="C16" s="76">
        <f>C14*C15</f>
        <v>34189765.560000002</v>
      </c>
      <c r="D16" s="76">
        <f>D14*D15</f>
        <v>45586354.079999998</v>
      </c>
    </row>
    <row r="17" spans="1:4" x14ac:dyDescent="0.15">
      <c r="A17" s="81" t="s">
        <v>106</v>
      </c>
    </row>
    <row r="19" spans="1:4" ht="14" x14ac:dyDescent="0.15">
      <c r="A19" s="73" t="s">
        <v>107</v>
      </c>
      <c r="B19" s="74" t="s">
        <v>100</v>
      </c>
      <c r="C19" s="74" t="s">
        <v>101</v>
      </c>
      <c r="D19" s="74" t="s">
        <v>102</v>
      </c>
    </row>
    <row r="20" spans="1:4" x14ac:dyDescent="0.15">
      <c r="A20" s="24" t="s">
        <v>108</v>
      </c>
      <c r="B20" s="79">
        <v>1</v>
      </c>
      <c r="C20" s="79">
        <v>1.5</v>
      </c>
      <c r="D20" s="79">
        <v>2.5</v>
      </c>
    </row>
    <row r="21" spans="1:4" x14ac:dyDescent="0.15">
      <c r="A21" s="24" t="s">
        <v>109</v>
      </c>
      <c r="B21" s="80">
        <f>$C$4</f>
        <v>13560319.666666666</v>
      </c>
      <c r="C21" s="80">
        <f>$C$4</f>
        <v>13560319.666666666</v>
      </c>
      <c r="D21" s="80">
        <f>$C$4</f>
        <v>13560319.666666666</v>
      </c>
    </row>
    <row r="22" spans="1:4" x14ac:dyDescent="0.15">
      <c r="A22" s="75" t="s">
        <v>105</v>
      </c>
      <c r="B22" s="76">
        <f>B20*B21</f>
        <v>13560319.666666666</v>
      </c>
      <c r="C22" s="76">
        <f>C20*C21</f>
        <v>20340479.5</v>
      </c>
      <c r="D22" s="76">
        <f>D20*D21</f>
        <v>33900799.166666664</v>
      </c>
    </row>
    <row r="23" spans="1:4" x14ac:dyDescent="0.15">
      <c r="A23" s="81" t="s">
        <v>110</v>
      </c>
    </row>
    <row r="25" spans="1:4" ht="14" x14ac:dyDescent="0.15">
      <c r="A25" s="73" t="s">
        <v>111</v>
      </c>
      <c r="B25" s="74" t="s">
        <v>100</v>
      </c>
      <c r="C25" s="74" t="s">
        <v>101</v>
      </c>
      <c r="D25" s="74" t="s">
        <v>102</v>
      </c>
    </row>
    <row r="26" spans="1:4" x14ac:dyDescent="0.15">
      <c r="A26" s="24" t="s">
        <v>112</v>
      </c>
      <c r="B26" s="82">
        <v>0.22</v>
      </c>
      <c r="C26" s="82">
        <v>0.18</v>
      </c>
      <c r="D26" s="82">
        <v>0.15</v>
      </c>
    </row>
    <row r="27" spans="1:4" x14ac:dyDescent="0.15">
      <c r="A27" s="24" t="s">
        <v>113</v>
      </c>
      <c r="B27" s="79">
        <v>6</v>
      </c>
      <c r="C27" s="79">
        <v>8</v>
      </c>
      <c r="D27" s="79">
        <v>10</v>
      </c>
    </row>
    <row r="28" spans="1:4" x14ac:dyDescent="0.15">
      <c r="A28" s="24" t="s">
        <v>114</v>
      </c>
      <c r="B28" s="80">
        <f>$B$7</f>
        <v>2088513.4000000004</v>
      </c>
      <c r="C28" s="80">
        <f>$B$7</f>
        <v>2088513.4000000004</v>
      </c>
      <c r="D28" s="80">
        <f>$B$7</f>
        <v>2088513.4000000004</v>
      </c>
    </row>
    <row r="29" spans="1:4" x14ac:dyDescent="0.15">
      <c r="A29" s="24" t="s">
        <v>115</v>
      </c>
      <c r="B29" s="80">
        <f>$C$7</f>
        <v>3798862.84</v>
      </c>
      <c r="C29" s="80">
        <f>$C$7</f>
        <v>3798862.84</v>
      </c>
      <c r="D29" s="80">
        <f>$C$7</f>
        <v>3798862.84</v>
      </c>
    </row>
    <row r="30" spans="1:4" x14ac:dyDescent="0.15">
      <c r="A30" s="24" t="s">
        <v>116</v>
      </c>
      <c r="B30" s="25">
        <f>B29*B27</f>
        <v>22793177.039999999</v>
      </c>
      <c r="C30" s="25">
        <f>C29*C27</f>
        <v>30390902.719999999</v>
      </c>
      <c r="D30" s="25">
        <f>D29*D27</f>
        <v>37988628.399999999</v>
      </c>
    </row>
    <row r="31" spans="1:4" x14ac:dyDescent="0.15">
      <c r="A31" s="24" t="s">
        <v>117</v>
      </c>
      <c r="B31" s="25">
        <f>B28/(1+B26)^0.25</f>
        <v>1987226.2184537377</v>
      </c>
      <c r="C31" s="25">
        <f>C28/(1+C26)^0.25</f>
        <v>2003857.176363633</v>
      </c>
      <c r="D31" s="25">
        <f>D28/(1+D26)^0.25</f>
        <v>2016799.8760419276</v>
      </c>
    </row>
    <row r="32" spans="1:4" x14ac:dyDescent="0.15">
      <c r="A32" s="24" t="s">
        <v>118</v>
      </c>
      <c r="B32" s="25">
        <f>B29/(1+B26)^1</f>
        <v>3113822</v>
      </c>
      <c r="C32" s="25">
        <f>C29/(1+C26)^1</f>
        <v>3219375.2881355933</v>
      </c>
      <c r="D32" s="25">
        <f>D29/(1+D26)^1</f>
        <v>3303358.9913043478</v>
      </c>
    </row>
    <row r="33" spans="1:4" x14ac:dyDescent="0.15">
      <c r="A33" s="24" t="s">
        <v>119</v>
      </c>
      <c r="B33" s="25">
        <f>B30/(1+B26)^1.5</f>
        <v>16914731.868816428</v>
      </c>
      <c r="C33" s="25">
        <f>C30/(1+C26)^1.5</f>
        <v>23709401.405973829</v>
      </c>
      <c r="D33" s="25">
        <f>D30/(1+D26)^1.5</f>
        <v>30803981.427351777</v>
      </c>
    </row>
    <row r="34" spans="1:4" x14ac:dyDescent="0.15">
      <c r="A34" s="75" t="s">
        <v>120</v>
      </c>
      <c r="B34" s="76">
        <f>SUM(B31:B33)</f>
        <v>22015780.087270167</v>
      </c>
      <c r="C34" s="76">
        <f>SUM(C31:C33)</f>
        <v>28932633.870473057</v>
      </c>
      <c r="D34" s="76">
        <f>SUM(D31:D33)</f>
        <v>36124140.294698052</v>
      </c>
    </row>
    <row r="35" spans="1:4" x14ac:dyDescent="0.15">
      <c r="A35" s="81" t="s">
        <v>121</v>
      </c>
    </row>
    <row r="37" spans="1:4" ht="14" x14ac:dyDescent="0.15">
      <c r="A37" s="73" t="s">
        <v>122</v>
      </c>
      <c r="B37" s="74" t="s">
        <v>100</v>
      </c>
      <c r="C37" s="74" t="s">
        <v>101</v>
      </c>
      <c r="D37" s="74" t="s">
        <v>102</v>
      </c>
    </row>
    <row r="38" spans="1:4" x14ac:dyDescent="0.15">
      <c r="A38" s="24" t="s">
        <v>123</v>
      </c>
      <c r="B38" s="25">
        <f>B16</f>
        <v>22793177.039999999</v>
      </c>
      <c r="C38" s="25">
        <f>C16</f>
        <v>34189765.560000002</v>
      </c>
      <c r="D38" s="25">
        <f>D16</f>
        <v>45586354.079999998</v>
      </c>
    </row>
    <row r="39" spans="1:4" x14ac:dyDescent="0.15">
      <c r="A39" s="24" t="s">
        <v>124</v>
      </c>
      <c r="B39" s="25">
        <f>B22</f>
        <v>13560319.666666666</v>
      </c>
      <c r="C39" s="25">
        <f>C22</f>
        <v>20340479.5</v>
      </c>
      <c r="D39" s="25">
        <f>D22</f>
        <v>33900799.166666664</v>
      </c>
    </row>
    <row r="40" spans="1:4" x14ac:dyDescent="0.15">
      <c r="A40" s="24" t="s">
        <v>125</v>
      </c>
      <c r="B40" s="25">
        <f>B34</f>
        <v>22015780.087270167</v>
      </c>
      <c r="C40" s="25">
        <f>C34</f>
        <v>28932633.870473057</v>
      </c>
      <c r="D40" s="25">
        <f>D34</f>
        <v>36124140.294698052</v>
      </c>
    </row>
    <row r="41" spans="1:4" x14ac:dyDescent="0.15">
      <c r="A41" s="75" t="s">
        <v>126</v>
      </c>
      <c r="B41" s="76">
        <f>AVERAGE(B38:B40)</f>
        <v>19456425.597978946</v>
      </c>
      <c r="C41" s="76">
        <f>AVERAGE(C38:C40)</f>
        <v>27820959.643491019</v>
      </c>
      <c r="D41" s="76">
        <f>AVERAGE(D38:D40)</f>
        <v>38537097.847121574</v>
      </c>
    </row>
    <row r="43" spans="1:4" ht="14" x14ac:dyDescent="0.15">
      <c r="A43" s="73" t="s">
        <v>127</v>
      </c>
      <c r="B43" s="74" t="s">
        <v>100</v>
      </c>
      <c r="C43" s="74" t="s">
        <v>101</v>
      </c>
      <c r="D43" s="74" t="s">
        <v>102</v>
      </c>
    </row>
    <row r="44" spans="1:4" x14ac:dyDescent="0.15">
      <c r="A44" s="24" t="s">
        <v>128</v>
      </c>
      <c r="B44" s="25">
        <f>B41</f>
        <v>19456425.597978946</v>
      </c>
      <c r="C44" s="25">
        <f>C41</f>
        <v>27820959.643491019</v>
      </c>
      <c r="D44" s="25">
        <f>D41</f>
        <v>38537097.847121574</v>
      </c>
    </row>
    <row r="45" spans="1:4" x14ac:dyDescent="0.15">
      <c r="A45" s="24" t="s">
        <v>129</v>
      </c>
      <c r="B45" s="83">
        <v>0</v>
      </c>
      <c r="C45" s="25">
        <f>B45</f>
        <v>0</v>
      </c>
      <c r="D45" s="25">
        <f>B45</f>
        <v>0</v>
      </c>
    </row>
    <row r="46" spans="1:4" x14ac:dyDescent="0.15">
      <c r="A46" s="24" t="s">
        <v>130</v>
      </c>
      <c r="B46" s="83">
        <v>0</v>
      </c>
      <c r="C46" s="25">
        <f>B46</f>
        <v>0</v>
      </c>
      <c r="D46" s="25">
        <f>B46</f>
        <v>0</v>
      </c>
    </row>
    <row r="47" spans="1:4" ht="14" x14ac:dyDescent="0.15">
      <c r="A47" s="84" t="s">
        <v>131</v>
      </c>
      <c r="B47" s="85">
        <f>B44+B45-B46</f>
        <v>19456425.597978946</v>
      </c>
      <c r="C47" s="85">
        <f>C44+C45-C46</f>
        <v>27820959.643491019</v>
      </c>
      <c r="D47" s="85">
        <f>D44+D45-D46</f>
        <v>38537097.847121574</v>
      </c>
    </row>
    <row r="49" spans="1:2" x14ac:dyDescent="0.15">
      <c r="A49" s="22" t="s">
        <v>132</v>
      </c>
    </row>
    <row r="50" spans="1:2" x14ac:dyDescent="0.15">
      <c r="A50" s="24" t="s">
        <v>133</v>
      </c>
      <c r="B50" s="86">
        <f>C44/C4</f>
        <v>2.0516448230847524</v>
      </c>
    </row>
    <row r="51" spans="1:2" x14ac:dyDescent="0.15">
      <c r="A51" s="24" t="s">
        <v>134</v>
      </c>
      <c r="B51" s="86">
        <f>C44/C7</f>
        <v>7.3234967450130473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P&amp;L</vt:lpstr>
      <vt:lpstr>Cashflow</vt:lpstr>
      <vt:lpstr>Summary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Le Roux</cp:lastModifiedBy>
  <dcterms:created xsi:type="dcterms:W3CDTF">2026-06-12T13:36:54Z</dcterms:created>
  <dcterms:modified xsi:type="dcterms:W3CDTF">2026-06-26T12:03:10Z</dcterms:modified>
</cp:coreProperties>
</file>