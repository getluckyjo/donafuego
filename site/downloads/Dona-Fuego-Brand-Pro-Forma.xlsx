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ottles" sheetId="2" state="visible" r:id="rId2"/>
    <sheet name="P&amp;L" sheetId="3" state="visible" r:id="rId3"/>
    <sheet name="Cashflow" sheetId="4" state="visible" r:id="rId4"/>
    <sheet name="Valuation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R&quot;#,##0;(&quot;R&quot;#,##0);-"/>
    <numFmt numFmtId="166" formatCode="0.0&quot;x&quot;"/>
    <numFmt numFmtId="167" formatCode="yyyy-mm-dd h:mm:ss"/>
    <numFmt numFmtId="168" formatCode="#,##0;-#,##0;-"/>
    <numFmt numFmtId="169" formatCode="0.0x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0" pivotButton="0" quotePrefix="0" xfId="0"/>
    <xf numFmtId="3" fontId="5" fillId="0" borderId="0" pivotButton="0" quotePrefix="0" xfId="0"/>
    <xf numFmtId="3" fontId="4" fillId="0" borderId="0" pivotButton="0" quotePrefix="0" xfId="0"/>
    <xf numFmtId="164" fontId="5" fillId="2" borderId="0" pivotButton="0" quotePrefix="0" xfId="0"/>
    <xf numFmtId="165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6" fontId="4" fillId="2" borderId="0" pivotButton="0" quotePrefix="0" xfId="0"/>
    <xf numFmtId="165" fontId="4" fillId="0" borderId="0" pivotButton="0" quotePrefix="0" xfId="0"/>
    <xf numFmtId="165" fontId="3" fillId="0" borderId="0" pivotButton="0" quotePrefix="0" xfId="0"/>
    <xf numFmtId="17" fontId="3" fillId="0" borderId="0" pivotButton="0" quotePrefix="0" xfId="0"/>
    <xf numFmtId="168" fontId="4" fillId="0" borderId="0" pivotButton="0" quotePrefix="0" xfId="0"/>
    <xf numFmtId="168" fontId="6" fillId="0" borderId="0" pivotButton="0" quotePrefix="0" xfId="0"/>
    <xf numFmtId="3" fontId="3" fillId="0" borderId="0" pivotButton="0" quotePrefix="0" xfId="0"/>
    <xf numFmtId="165" fontId="6" fillId="0" borderId="0" pivotButton="0" quotePrefix="0" xfId="0"/>
    <xf numFmtId="164" fontId="3" fillId="0" borderId="0" pivotButton="0" quotePrefix="0" xfId="0"/>
    <xf numFmtId="169" fontId="5" fillId="0" borderId="0" pivotButton="0" quotePrefix="0" xfId="0"/>
    <xf numFmtId="165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6" customWidth="1" min="3" max="3"/>
  </cols>
  <sheetData>
    <row r="1">
      <c r="A1" s="1" t="inlineStr">
        <is>
          <t>ASSUMPTIONS — Doña Fuego Brand Pro Forma (cans + bottles)</t>
        </is>
      </c>
    </row>
    <row r="2">
      <c r="A2" s="2" t="inlineStr">
        <is>
          <t>Brand entity scope: Doña Fuego cans + Fuego Tequila bottles (Bottles sheet, from historic actuals).</t>
        </is>
      </c>
    </row>
    <row r="3">
      <c r="A3" s="3" t="inlineStr">
        <is>
          <t>Checkers listing</t>
        </is>
      </c>
    </row>
    <row r="4">
      <c r="A4" s="4" t="inlineStr">
        <is>
          <t>Stores in Checkers listing</t>
        </is>
      </c>
      <c r="B4" s="5" t="n">
        <v>360</v>
      </c>
      <c r="C4" s="2" t="inlineStr">
        <is>
          <t>Final Checkers listing (updated from 300); launch Aug 2026</t>
        </is>
      </c>
    </row>
    <row r="5">
      <c r="A5" s="4" t="inlineStr">
        <is>
          <t>SKUs in listing</t>
        </is>
      </c>
      <c r="B5" s="6" t="n">
        <v>3</v>
      </c>
      <c r="C5" s="2" t="inlineStr">
        <is>
          <t>Margarita, Spicy Margarita, Paloma</t>
        </is>
      </c>
    </row>
    <row r="6">
      <c r="A6" s="4" t="inlineStr">
        <is>
          <t>Cases per store per SKU (initial fill)</t>
        </is>
      </c>
      <c r="B6" s="6" t="n">
        <v>3</v>
      </c>
      <c r="C6" s="2" t="inlineStr">
        <is>
          <t>Per project model</t>
        </is>
      </c>
    </row>
    <row r="7">
      <c r="A7" s="4" t="inlineStr">
        <is>
          <t>Initial fill (cases)</t>
        </is>
      </c>
      <c r="B7" s="7">
        <f>B4*B5*B6</f>
        <v/>
      </c>
    </row>
    <row r="8">
      <c r="A8" s="4" t="inlineStr">
        <is>
          <t>October restock (cases)</t>
        </is>
      </c>
      <c r="B8" s="7">
        <f>1050*B4/300</f>
        <v/>
      </c>
      <c r="C8" s="2" t="inlineStr">
        <is>
          <t>Scaled from 1,050 cases at 300 stores (project model)</t>
        </is>
      </c>
    </row>
    <row r="9">
      <c r="A9" s="3" t="inlineStr">
        <is>
          <t>Reorders</t>
        </is>
      </c>
    </row>
    <row r="10">
      <c r="A10" s="4" t="inlineStr">
        <is>
          <t>Steady-state store reorder (cases/month)</t>
        </is>
      </c>
      <c r="B10" s="7">
        <f>600*B4/300</f>
        <v/>
      </c>
      <c r="C10" s="2" t="inlineStr">
        <is>
          <t>Scaled from 600 cases/month at 300 stores (project model)</t>
        </is>
      </c>
    </row>
    <row r="11">
      <c r="A11" s="4" t="inlineStr">
        <is>
          <t>Sixty60 uplift on steady-state reorders</t>
        </is>
      </c>
      <c r="B11" s="8" t="n">
        <v>0.1</v>
      </c>
      <c r="C11" s="2" t="inlineStr">
        <is>
          <t>MANAGEMENT ESTIMATE (conservative): on-demand delivery adds 10% to monthly reorders</t>
        </is>
      </c>
    </row>
    <row r="12">
      <c r="A12" s="4" t="inlineStr">
        <is>
          <t>Steady-state incl. Sixty60 (cases/month)</t>
        </is>
      </c>
      <c r="B12" s="7">
        <f>ROUND(B10*(1+B11),0)</f>
        <v/>
      </c>
    </row>
    <row r="13">
      <c r="A13" s="4" t="inlineStr">
        <is>
          <t>Wholesale price per case (R)</t>
        </is>
      </c>
      <c r="B13" s="9" t="n">
        <v>847.04</v>
      </c>
      <c r="C13" s="2" t="inlineStr">
        <is>
          <t>Per project model (R169 4-pack / R49 unit retail)</t>
        </is>
      </c>
    </row>
    <row r="14">
      <c r="A14" s="4" t="inlineStr">
        <is>
          <t>Payment terms</t>
        </is>
      </c>
      <c r="B14" s="10" t="inlineStr">
        <is>
          <t>30 days from statement</t>
        </is>
      </c>
    </row>
    <row r="15">
      <c r="A15" s="3" t="inlineStr">
        <is>
          <t>Can COGS build (% of revenue)</t>
        </is>
      </c>
    </row>
    <row r="16">
      <c r="A16" s="4" t="inlineStr">
        <is>
          <t xml:space="preserve">  Tequila (supply agreement)</t>
        </is>
      </c>
      <c r="B16" s="11" t="n">
        <v>0.18</v>
      </c>
      <c r="C16" s="2" t="inlineStr">
        <is>
          <t>Bulk tequila from Doña Distillery under special supply agreement</t>
        </is>
      </c>
    </row>
    <row r="17">
      <c r="A17" s="4" t="inlineStr">
        <is>
          <t xml:space="preserve">  Packaging (cans, printing, pallets)</t>
        </is>
      </c>
      <c r="B17" s="11" t="n">
        <v>0.16</v>
      </c>
    </row>
    <row r="18">
      <c r="A18" s="4" t="inlineStr">
        <is>
          <t xml:space="preserve">  Co-pack production</t>
        </is>
      </c>
      <c r="B18" s="11" t="n">
        <v>0.12</v>
      </c>
    </row>
    <row r="19">
      <c r="A19" s="4" t="inlineStr">
        <is>
          <t xml:space="preserve">  Distribution (FAL)</t>
        </is>
      </c>
      <c r="B19" s="11" t="n">
        <v>0.04</v>
      </c>
    </row>
    <row r="20">
      <c r="A20" s="4" t="inlineStr">
        <is>
          <t xml:space="preserve">  SARS Excise</t>
        </is>
      </c>
      <c r="B20" s="11" t="n">
        <v>0.2</v>
      </c>
    </row>
    <row r="21">
      <c r="A21" s="4" t="inlineStr">
        <is>
          <t>Total can COGS ratio</t>
        </is>
      </c>
      <c r="B21" s="12">
        <f>SUM(B16:B20)</f>
        <v/>
      </c>
    </row>
    <row r="22">
      <c r="A22" s="3" t="inlineStr">
        <is>
          <t>Operating costs</t>
        </is>
      </c>
    </row>
    <row r="23">
      <c r="A23" s="4" t="inlineStr">
        <is>
          <t>Legal &amp; admin (R/month)</t>
        </is>
      </c>
      <c r="B23" s="9" t="n">
        <v>10000</v>
      </c>
      <c r="C23" s="2" t="inlineStr">
        <is>
          <t>Per project model</t>
        </is>
      </c>
    </row>
    <row r="24">
      <c r="A24" s="4" t="inlineStr">
        <is>
          <t>Launch cost scaling vs project model</t>
        </is>
      </c>
      <c r="B24" s="13">
        <f>B4/300</f>
        <v/>
      </c>
      <c r="C24" s="2" t="inlineStr">
        <is>
          <t>Applied to 2026 launch cash costs quoted at 300-store scale</t>
        </is>
      </c>
    </row>
    <row r="26">
      <c r="A26" s="2" t="inlineStr">
        <is>
          <t>Legend: blue = input (edit these) · black = formula · green = link to another sheet · yellow = key assumptions to sense-check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FUEGO TEQUILA BOTTLES — historic sales &amp; projection</t>
        </is>
      </c>
    </row>
    <row r="2">
      <c r="A2" s="2" t="inlineStr">
        <is>
          <t>Historic revenue per management sales export (bottle &amp; mini, 2023–Jul 2026), received Aug 2026.</t>
        </is>
      </c>
    </row>
    <row r="3">
      <c r="A3" s="3" t="inlineStr">
        <is>
          <t>Month</t>
        </is>
      </c>
      <c r="B3" s="3" t="inlineStr">
        <is>
          <t>2023</t>
        </is>
      </c>
      <c r="C3" s="3" t="inlineStr">
        <is>
          <t>2024</t>
        </is>
      </c>
      <c r="D3" s="3" t="inlineStr">
        <is>
          <t>2025</t>
        </is>
      </c>
      <c r="E3" s="3" t="inlineStr">
        <is>
          <t>2026</t>
        </is>
      </c>
      <c r="F3" s="3" t="inlineStr"/>
      <c r="G3" s="3" t="inlineStr">
        <is>
          <t>2027 (proj)</t>
        </is>
      </c>
    </row>
    <row r="4">
      <c r="A4" s="4" t="inlineStr">
        <is>
          <t>January</t>
        </is>
      </c>
      <c r="C4" s="9" t="n">
        <v>87354</v>
      </c>
      <c r="D4" s="9" t="n">
        <v>107377.8</v>
      </c>
      <c r="E4" s="9" t="n">
        <v>185865.3</v>
      </c>
      <c r="G4" s="14">
        <f>(D4+E4)/($D$16+$E$16)*$B$21</f>
        <v/>
      </c>
    </row>
    <row r="5">
      <c r="A5" s="4" t="inlineStr">
        <is>
          <t>February</t>
        </is>
      </c>
      <c r="C5" s="9" t="n">
        <v>7728</v>
      </c>
      <c r="D5" s="9" t="n">
        <v>46920</v>
      </c>
      <c r="E5" s="9" t="n">
        <v>209857.2</v>
      </c>
      <c r="G5" s="14">
        <f>(D5+E5)/($D$16+$E$16)*$B$21</f>
        <v/>
      </c>
    </row>
    <row r="6">
      <c r="A6" s="4" t="inlineStr">
        <is>
          <t>March</t>
        </is>
      </c>
      <c r="D6" s="9" t="n">
        <v>126617.4</v>
      </c>
      <c r="E6" s="9" t="n">
        <v>260918.59</v>
      </c>
      <c r="G6" s="14">
        <f>(D6+E6)/($D$16+$E$16)*$B$21</f>
        <v/>
      </c>
    </row>
    <row r="7">
      <c r="A7" s="4" t="inlineStr">
        <is>
          <t>April</t>
        </is>
      </c>
      <c r="C7" s="9" t="n">
        <v>21931.51</v>
      </c>
      <c r="D7" s="9" t="n">
        <v>663918</v>
      </c>
      <c r="E7" s="9" t="n">
        <v>470561.32</v>
      </c>
      <c r="G7" s="14">
        <f>(D7+E7)/($D$16+$E$16)*$B$21</f>
        <v/>
      </c>
    </row>
    <row r="8">
      <c r="A8" s="4" t="inlineStr">
        <is>
          <t>May</t>
        </is>
      </c>
      <c r="C8" s="9" t="n">
        <v>1895.8</v>
      </c>
      <c r="D8" s="9" t="n">
        <v>168670.5</v>
      </c>
      <c r="E8" s="9" t="n">
        <v>167687.8</v>
      </c>
      <c r="G8" s="14">
        <f>(D8+E8)/($D$16+$E$16)*$B$21</f>
        <v/>
      </c>
    </row>
    <row r="9">
      <c r="A9" s="4" t="inlineStr">
        <is>
          <t>June</t>
        </is>
      </c>
      <c r="C9" s="9" t="n">
        <v>68533.21000000001</v>
      </c>
      <c r="D9" s="9" t="n">
        <v>98574.11</v>
      </c>
      <c r="E9" s="9" t="n">
        <v>60059.82</v>
      </c>
      <c r="G9" s="14">
        <f>(D9+E9)/($D$16+$E$16)*$B$21</f>
        <v/>
      </c>
    </row>
    <row r="10">
      <c r="A10" s="4" t="inlineStr">
        <is>
          <t>July</t>
        </is>
      </c>
      <c r="C10" s="9" t="n">
        <v>36027.3</v>
      </c>
      <c r="D10" s="9" t="n">
        <v>266641.05</v>
      </c>
      <c r="E10" s="9" t="n">
        <v>188654.34</v>
      </c>
      <c r="G10" s="14">
        <f>(D10+E10)/($D$16+$E$16)*$B$21</f>
        <v/>
      </c>
    </row>
    <row r="11">
      <c r="A11" s="4" t="inlineStr">
        <is>
          <t>August</t>
        </is>
      </c>
      <c r="C11" s="9" t="n">
        <v>5796</v>
      </c>
      <c r="D11" s="9" t="n">
        <v>44441.56</v>
      </c>
      <c r="E11" s="14">
        <f>D11*$B$19</f>
        <v/>
      </c>
      <c r="G11" s="14">
        <f>(D11+E11)/($D$16+$E$16)*$B$21</f>
        <v/>
      </c>
    </row>
    <row r="12">
      <c r="A12" s="4" t="inlineStr">
        <is>
          <t>September</t>
        </is>
      </c>
      <c r="B12" s="9" t="n">
        <v>1334</v>
      </c>
      <c r="C12" s="9" t="n">
        <v>46252.59</v>
      </c>
      <c r="D12" s="9" t="n">
        <v>65847.11</v>
      </c>
      <c r="E12" s="14">
        <f>D12*$B$19</f>
        <v/>
      </c>
      <c r="G12" s="14">
        <f>(D12+E12)/($D$16+$E$16)*$B$21</f>
        <v/>
      </c>
    </row>
    <row r="13">
      <c r="A13" s="4" t="inlineStr">
        <is>
          <t>October</t>
        </is>
      </c>
      <c r="B13" s="9" t="n">
        <v>2894</v>
      </c>
      <c r="C13" s="9" t="n">
        <v>530949.8100000001</v>
      </c>
      <c r="D13" s="9" t="n">
        <v>63268.38</v>
      </c>
      <c r="E13" s="14">
        <f>D13*$B$19</f>
        <v/>
      </c>
      <c r="G13" s="14">
        <f>(D13+E13)/($D$16+$E$16)*$B$21</f>
        <v/>
      </c>
    </row>
    <row r="14">
      <c r="A14" s="4" t="inlineStr">
        <is>
          <t>November</t>
        </is>
      </c>
      <c r="C14" s="9" t="n">
        <v>81964.75</v>
      </c>
      <c r="D14" s="9" t="n">
        <v>257848.55</v>
      </c>
      <c r="E14" s="14">
        <f>D14*$B$19</f>
        <v/>
      </c>
      <c r="G14" s="14">
        <f>(D14+E14)/($D$16+$E$16)*$B$21</f>
        <v/>
      </c>
    </row>
    <row r="15">
      <c r="A15" s="4" t="inlineStr">
        <is>
          <t>December</t>
        </is>
      </c>
      <c r="B15" s="9" t="n">
        <v>21919</v>
      </c>
      <c r="C15" s="9" t="n">
        <v>138333.09</v>
      </c>
      <c r="D15" s="9" t="n">
        <v>35332.6</v>
      </c>
      <c r="E15" s="14">
        <f>D15*$B$19</f>
        <v/>
      </c>
      <c r="G15" s="14">
        <f>(D15+E15)/($D$16+$E$16)*$B$21</f>
        <v/>
      </c>
    </row>
    <row r="16">
      <c r="A16" s="3" t="inlineStr">
        <is>
          <t>Annual total</t>
        </is>
      </c>
      <c r="B16" s="15">
        <f>SUM(B4:B15)</f>
        <v/>
      </c>
      <c r="C16" s="15">
        <f>SUM(C4:C15)</f>
        <v/>
      </c>
      <c r="D16" s="15">
        <f>SUM(D4:D15)</f>
        <v/>
      </c>
      <c r="E16" s="15">
        <f>SUM(E4:E15)</f>
        <v/>
      </c>
      <c r="G16" s="15">
        <f>SUM(G4:G15)</f>
        <v/>
      </c>
    </row>
    <row r="18">
      <c r="A18" s="3" t="inlineStr">
        <is>
          <t>Projection assumptions</t>
        </is>
      </c>
    </row>
    <row r="19">
      <c r="A19" s="4" t="inlineStr">
        <is>
          <t>YoY growth (Jan-Jul 26 vs Jan-Jul 25)</t>
        </is>
      </c>
      <c r="B19" s="12">
        <f>SUM(E4:E10)/SUM(D4:D10)</f>
        <v/>
      </c>
      <c r="C19" s="2" t="inlineStr">
        <is>
          <t>Applied to 2025 actuals for Aug-Dec 2026</t>
        </is>
      </c>
    </row>
    <row r="20">
      <c r="A20" s="4" t="inlineStr">
        <is>
          <t>2027 growth on 2026</t>
        </is>
      </c>
      <c r="B20" s="8" t="n">
        <v>0.05</v>
      </c>
      <c r="C20" s="2" t="inlineStr">
        <is>
          <t>CONSERVATIVE vs +89% (2025) and +4.4% YTD (2026)</t>
        </is>
      </c>
    </row>
    <row r="21">
      <c r="A21" s="4" t="inlineStr">
        <is>
          <t>2027 total</t>
        </is>
      </c>
      <c r="B21" s="14">
        <f>E16*(1+B20)</f>
        <v/>
      </c>
    </row>
    <row r="22">
      <c r="A22" s="4" t="inlineStr">
        <is>
          <t>Bottle gross margin %</t>
        </is>
      </c>
      <c r="B22" s="8" t="n">
        <v>0.3</v>
      </c>
      <c r="C22" s="2" t="inlineStr">
        <is>
          <t>PLACEHOLDER matching cans — awaiting bottle cost data from management</t>
        </is>
      </c>
    </row>
    <row r="24">
      <c r="A24" s="2" t="inlineStr">
        <is>
          <t>2026 cells Aug-Dec are projections (2025 month x B19); 2027 monthly = blended 2025+2026 seasonality x B21.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P&amp;L (ACCRUAL) — Doña Fuego cans + Fuego Tequila bottles</t>
        </is>
      </c>
    </row>
    <row r="3">
      <c r="A3" s="3" t="inlineStr">
        <is>
          <t>Month</t>
        </is>
      </c>
      <c r="B3" s="16" t="n">
        <v>46174</v>
      </c>
      <c r="C3" s="16" t="n">
        <v>46204</v>
      </c>
      <c r="D3" s="16" t="n">
        <v>46235</v>
      </c>
      <c r="E3" s="16" t="n">
        <v>46266</v>
      </c>
      <c r="F3" s="16" t="n">
        <v>46296</v>
      </c>
      <c r="G3" s="16" t="n">
        <v>46327</v>
      </c>
      <c r="H3" s="16" t="n">
        <v>46357</v>
      </c>
      <c r="I3" s="16" t="n">
        <v>46388</v>
      </c>
      <c r="J3" s="16" t="n">
        <v>46419</v>
      </c>
      <c r="K3" s="16" t="n">
        <v>46447</v>
      </c>
      <c r="L3" s="16" t="n">
        <v>46478</v>
      </c>
      <c r="M3" s="16" t="n">
        <v>46508</v>
      </c>
      <c r="N3" s="16" t="n">
        <v>46539</v>
      </c>
      <c r="O3" s="16" t="n">
        <v>46569</v>
      </c>
      <c r="P3" s="16" t="n">
        <v>46600</v>
      </c>
      <c r="Q3" s="16" t="n">
        <v>46631</v>
      </c>
      <c r="R3" s="16" t="n">
        <v>46661</v>
      </c>
      <c r="S3" s="16" t="n">
        <v>46692</v>
      </c>
      <c r="T3" s="16" t="n">
        <v>46722</v>
      </c>
      <c r="U3" s="3" t="inlineStr">
        <is>
          <t>TOTAL</t>
        </is>
      </c>
    </row>
    <row r="4">
      <c r="A4" s="4" t="inlineStr">
        <is>
          <t>Cases delivered (cans)</t>
        </is>
      </c>
      <c r="B4" s="17" t="n">
        <v>0</v>
      </c>
      <c r="C4" s="17" t="n">
        <v>0</v>
      </c>
      <c r="D4" s="18">
        <f>Assumptions!B7</f>
        <v/>
      </c>
      <c r="E4" s="17" t="n">
        <v>0</v>
      </c>
      <c r="F4" s="18">
        <f>Assumptions!B8</f>
        <v/>
      </c>
      <c r="G4" s="18">
        <f>Assumptions!B12</f>
        <v/>
      </c>
      <c r="H4" s="18">
        <f>Assumptions!B12</f>
        <v/>
      </c>
      <c r="I4" s="18">
        <f>Assumptions!B12</f>
        <v/>
      </c>
      <c r="J4" s="18">
        <f>Assumptions!B12</f>
        <v/>
      </c>
      <c r="K4" s="18">
        <f>Assumptions!B12</f>
        <v/>
      </c>
      <c r="L4" s="18">
        <f>Assumptions!B12</f>
        <v/>
      </c>
      <c r="M4" s="18">
        <f>Assumptions!B12</f>
        <v/>
      </c>
      <c r="N4" s="18">
        <f>Assumptions!B12</f>
        <v/>
      </c>
      <c r="O4" s="18">
        <f>Assumptions!B12</f>
        <v/>
      </c>
      <c r="P4" s="18">
        <f>Assumptions!B12</f>
        <v/>
      </c>
      <c r="Q4" s="18">
        <f>Assumptions!B12</f>
        <v/>
      </c>
      <c r="R4" s="18">
        <f>Assumptions!B12</f>
        <v/>
      </c>
      <c r="S4" s="18">
        <f>Assumptions!B12</f>
        <v/>
      </c>
      <c r="T4" s="18">
        <f>Assumptions!B12</f>
        <v/>
      </c>
      <c r="U4" s="19">
        <f>SUM(B4:T4)</f>
        <v/>
      </c>
    </row>
    <row r="5">
      <c r="A5" s="4" t="inlineStr">
        <is>
          <t>Can revenue</t>
        </is>
      </c>
      <c r="B5" s="14">
        <f>B4*Assumptions!$B$13</f>
        <v/>
      </c>
      <c r="C5" s="14">
        <f>C4*Assumptions!$B$13</f>
        <v/>
      </c>
      <c r="D5" s="14">
        <f>D4*Assumptions!$B$13</f>
        <v/>
      </c>
      <c r="E5" s="14">
        <f>E4*Assumptions!$B$13</f>
        <v/>
      </c>
      <c r="F5" s="14">
        <f>F4*Assumptions!$B$13</f>
        <v/>
      </c>
      <c r="G5" s="14">
        <f>G4*Assumptions!$B$13</f>
        <v/>
      </c>
      <c r="H5" s="14">
        <f>H4*Assumptions!$B$13</f>
        <v/>
      </c>
      <c r="I5" s="14">
        <f>I4*Assumptions!$B$13</f>
        <v/>
      </c>
      <c r="J5" s="14">
        <f>J4*Assumptions!$B$13</f>
        <v/>
      </c>
      <c r="K5" s="14">
        <f>K4*Assumptions!$B$13</f>
        <v/>
      </c>
      <c r="L5" s="14">
        <f>L4*Assumptions!$B$13</f>
        <v/>
      </c>
      <c r="M5" s="14">
        <f>M4*Assumptions!$B$13</f>
        <v/>
      </c>
      <c r="N5" s="14">
        <f>N4*Assumptions!$B$13</f>
        <v/>
      </c>
      <c r="O5" s="14">
        <f>O4*Assumptions!$B$13</f>
        <v/>
      </c>
      <c r="P5" s="14">
        <f>P4*Assumptions!$B$13</f>
        <v/>
      </c>
      <c r="Q5" s="14">
        <f>Q4*Assumptions!$B$13</f>
        <v/>
      </c>
      <c r="R5" s="14">
        <f>R4*Assumptions!$B$13</f>
        <v/>
      </c>
      <c r="S5" s="14">
        <f>S4*Assumptions!$B$13</f>
        <v/>
      </c>
      <c r="T5" s="14">
        <f>T4*Assumptions!$B$13</f>
        <v/>
      </c>
      <c r="U5" s="15">
        <f>SUM(B5:T5)</f>
        <v/>
      </c>
    </row>
    <row r="6">
      <c r="A6" s="4" t="inlineStr">
        <is>
          <t>Bottle revenue</t>
        </is>
      </c>
      <c r="B6" s="20">
        <f>Bottles!E9</f>
        <v/>
      </c>
      <c r="C6" s="20">
        <f>Bottles!E10</f>
        <v/>
      </c>
      <c r="D6" s="20">
        <f>Bottles!E11</f>
        <v/>
      </c>
      <c r="E6" s="20">
        <f>Bottles!E12</f>
        <v/>
      </c>
      <c r="F6" s="20">
        <f>Bottles!E13</f>
        <v/>
      </c>
      <c r="G6" s="20">
        <f>Bottles!E14</f>
        <v/>
      </c>
      <c r="H6" s="20">
        <f>Bottles!E15</f>
        <v/>
      </c>
      <c r="I6" s="20">
        <f>Bottles!G4</f>
        <v/>
      </c>
      <c r="J6" s="20">
        <f>Bottles!G5</f>
        <v/>
      </c>
      <c r="K6" s="20">
        <f>Bottles!G6</f>
        <v/>
      </c>
      <c r="L6" s="20">
        <f>Bottles!G7</f>
        <v/>
      </c>
      <c r="M6" s="20">
        <f>Bottles!G8</f>
        <v/>
      </c>
      <c r="N6" s="20">
        <f>Bottles!G9</f>
        <v/>
      </c>
      <c r="O6" s="20">
        <f>Bottles!G10</f>
        <v/>
      </c>
      <c r="P6" s="20">
        <f>Bottles!G11</f>
        <v/>
      </c>
      <c r="Q6" s="20">
        <f>Bottles!G12</f>
        <v/>
      </c>
      <c r="R6" s="20">
        <f>Bottles!G13</f>
        <v/>
      </c>
      <c r="S6" s="20">
        <f>Bottles!G14</f>
        <v/>
      </c>
      <c r="T6" s="20">
        <f>Bottles!G15</f>
        <v/>
      </c>
      <c r="U6" s="15">
        <f>SUM(B6:T6)</f>
        <v/>
      </c>
    </row>
    <row r="7">
      <c r="A7" s="3" t="inlineStr">
        <is>
          <t>Total revenue</t>
        </is>
      </c>
      <c r="B7" s="15">
        <f>B5+B6</f>
        <v/>
      </c>
      <c r="C7" s="15">
        <f>C5+C6</f>
        <v/>
      </c>
      <c r="D7" s="15">
        <f>D5+D6</f>
        <v/>
      </c>
      <c r="E7" s="15">
        <f>E5+E6</f>
        <v/>
      </c>
      <c r="F7" s="15">
        <f>F5+F6</f>
        <v/>
      </c>
      <c r="G7" s="15">
        <f>G5+G6</f>
        <v/>
      </c>
      <c r="H7" s="15">
        <f>H5+H6</f>
        <v/>
      </c>
      <c r="I7" s="15">
        <f>I5+I6</f>
        <v/>
      </c>
      <c r="J7" s="15">
        <f>J5+J6</f>
        <v/>
      </c>
      <c r="K7" s="15">
        <f>K5+K6</f>
        <v/>
      </c>
      <c r="L7" s="15">
        <f>L5+L6</f>
        <v/>
      </c>
      <c r="M7" s="15">
        <f>M5+M6</f>
        <v/>
      </c>
      <c r="N7" s="15">
        <f>N5+N6</f>
        <v/>
      </c>
      <c r="O7" s="15">
        <f>O5+O6</f>
        <v/>
      </c>
      <c r="P7" s="15">
        <f>P5+P6</f>
        <v/>
      </c>
      <c r="Q7" s="15">
        <f>Q5+Q6</f>
        <v/>
      </c>
      <c r="R7" s="15">
        <f>R5+R6</f>
        <v/>
      </c>
      <c r="S7" s="15">
        <f>S5+S6</f>
        <v/>
      </c>
      <c r="T7" s="15">
        <f>T5+T6</f>
        <v/>
      </c>
      <c r="U7" s="15">
        <f>SUM(B7:T7)</f>
        <v/>
      </c>
    </row>
    <row r="8">
      <c r="A8" s="4" t="inlineStr">
        <is>
          <t>Can COGS</t>
        </is>
      </c>
      <c r="B8" s="14">
        <f>-B5*Assumptions!$B$21</f>
        <v/>
      </c>
      <c r="C8" s="14">
        <f>-C5*Assumptions!$B$21</f>
        <v/>
      </c>
      <c r="D8" s="14">
        <f>-D5*Assumptions!$B$21</f>
        <v/>
      </c>
      <c r="E8" s="14">
        <f>-E5*Assumptions!$B$21</f>
        <v/>
      </c>
      <c r="F8" s="14">
        <f>-F5*Assumptions!$B$21</f>
        <v/>
      </c>
      <c r="G8" s="14">
        <f>-G5*Assumptions!$B$21</f>
        <v/>
      </c>
      <c r="H8" s="14">
        <f>-H5*Assumptions!$B$21</f>
        <v/>
      </c>
      <c r="I8" s="14">
        <f>-I5*Assumptions!$B$21</f>
        <v/>
      </c>
      <c r="J8" s="14">
        <f>-J5*Assumptions!$B$21</f>
        <v/>
      </c>
      <c r="K8" s="14">
        <f>-K5*Assumptions!$B$21</f>
        <v/>
      </c>
      <c r="L8" s="14">
        <f>-L5*Assumptions!$B$21</f>
        <v/>
      </c>
      <c r="M8" s="14">
        <f>-M5*Assumptions!$B$21</f>
        <v/>
      </c>
      <c r="N8" s="14">
        <f>-N5*Assumptions!$B$21</f>
        <v/>
      </c>
      <c r="O8" s="14">
        <f>-O5*Assumptions!$B$21</f>
        <v/>
      </c>
      <c r="P8" s="14">
        <f>-P5*Assumptions!$B$21</f>
        <v/>
      </c>
      <c r="Q8" s="14">
        <f>-Q5*Assumptions!$B$21</f>
        <v/>
      </c>
      <c r="R8" s="14">
        <f>-R5*Assumptions!$B$21</f>
        <v/>
      </c>
      <c r="S8" s="14">
        <f>-S5*Assumptions!$B$21</f>
        <v/>
      </c>
      <c r="T8" s="14">
        <f>-T5*Assumptions!$B$21</f>
        <v/>
      </c>
      <c r="U8" s="15">
        <f>SUM(B8:T8)</f>
        <v/>
      </c>
    </row>
    <row r="9">
      <c r="A9" s="4" t="inlineStr">
        <is>
          <t>Bottle COGS</t>
        </is>
      </c>
      <c r="B9" s="14">
        <f>-B6*(1-Bottles!$B$22)</f>
        <v/>
      </c>
      <c r="C9" s="14">
        <f>-C6*(1-Bottles!$B$22)</f>
        <v/>
      </c>
      <c r="D9" s="14">
        <f>-D6*(1-Bottles!$B$22)</f>
        <v/>
      </c>
      <c r="E9" s="14">
        <f>-E6*(1-Bottles!$B$22)</f>
        <v/>
      </c>
      <c r="F9" s="14">
        <f>-F6*(1-Bottles!$B$22)</f>
        <v/>
      </c>
      <c r="G9" s="14">
        <f>-G6*(1-Bottles!$B$22)</f>
        <v/>
      </c>
      <c r="H9" s="14">
        <f>-H6*(1-Bottles!$B$22)</f>
        <v/>
      </c>
      <c r="I9" s="14">
        <f>-I6*(1-Bottles!$B$22)</f>
        <v/>
      </c>
      <c r="J9" s="14">
        <f>-J6*(1-Bottles!$B$22)</f>
        <v/>
      </c>
      <c r="K9" s="14">
        <f>-K6*(1-Bottles!$B$22)</f>
        <v/>
      </c>
      <c r="L9" s="14">
        <f>-L6*(1-Bottles!$B$22)</f>
        <v/>
      </c>
      <c r="M9" s="14">
        <f>-M6*(1-Bottles!$B$22)</f>
        <v/>
      </c>
      <c r="N9" s="14">
        <f>-N6*(1-Bottles!$B$22)</f>
        <v/>
      </c>
      <c r="O9" s="14">
        <f>-O6*(1-Bottles!$B$22)</f>
        <v/>
      </c>
      <c r="P9" s="14">
        <f>-P6*(1-Bottles!$B$22)</f>
        <v/>
      </c>
      <c r="Q9" s="14">
        <f>-Q6*(1-Bottles!$B$22)</f>
        <v/>
      </c>
      <c r="R9" s="14">
        <f>-R6*(1-Bottles!$B$22)</f>
        <v/>
      </c>
      <c r="S9" s="14">
        <f>-S6*(1-Bottles!$B$22)</f>
        <v/>
      </c>
      <c r="T9" s="14">
        <f>-T6*(1-Bottles!$B$22)</f>
        <v/>
      </c>
      <c r="U9" s="15">
        <f>SUM(B9:T9)</f>
        <v/>
      </c>
    </row>
    <row r="10">
      <c r="A10" s="3" t="inlineStr">
        <is>
          <t>Gross margin</t>
        </is>
      </c>
      <c r="B10" s="15">
        <f>B7+B8+B9</f>
        <v/>
      </c>
      <c r="C10" s="15">
        <f>C7+C8+C9</f>
        <v/>
      </c>
      <c r="D10" s="15">
        <f>D7+D8+D9</f>
        <v/>
      </c>
      <c r="E10" s="15">
        <f>E7+E8+E9</f>
        <v/>
      </c>
      <c r="F10" s="15">
        <f>F7+F8+F9</f>
        <v/>
      </c>
      <c r="G10" s="15">
        <f>G7+G8+G9</f>
        <v/>
      </c>
      <c r="H10" s="15">
        <f>H7+H8+H9</f>
        <v/>
      </c>
      <c r="I10" s="15">
        <f>I7+I8+I9</f>
        <v/>
      </c>
      <c r="J10" s="15">
        <f>J7+J8+J9</f>
        <v/>
      </c>
      <c r="K10" s="15">
        <f>K7+K8+K9</f>
        <v/>
      </c>
      <c r="L10" s="15">
        <f>L7+L8+L9</f>
        <v/>
      </c>
      <c r="M10" s="15">
        <f>M7+M8+M9</f>
        <v/>
      </c>
      <c r="N10" s="15">
        <f>N7+N8+N9</f>
        <v/>
      </c>
      <c r="O10" s="15">
        <f>O7+O8+O9</f>
        <v/>
      </c>
      <c r="P10" s="15">
        <f>P7+P8+P9</f>
        <v/>
      </c>
      <c r="Q10" s="15">
        <f>Q7+Q8+Q9</f>
        <v/>
      </c>
      <c r="R10" s="15">
        <f>R7+R8+R9</f>
        <v/>
      </c>
      <c r="S10" s="15">
        <f>S7+S8+S9</f>
        <v/>
      </c>
      <c r="T10" s="15">
        <f>T7+T8+T9</f>
        <v/>
      </c>
      <c r="U10" s="15">
        <f>SUM(B10:T10)</f>
        <v/>
      </c>
    </row>
    <row r="11">
      <c r="A11" s="4" t="inlineStr">
        <is>
          <t>Gross margin %</t>
        </is>
      </c>
      <c r="B11" s="12">
        <f>IF(B7=0,0,B10/B7)</f>
        <v/>
      </c>
      <c r="C11" s="12">
        <f>IF(C7=0,0,C10/C7)</f>
        <v/>
      </c>
      <c r="D11" s="12">
        <f>IF(D7=0,0,D10/D7)</f>
        <v/>
      </c>
      <c r="E11" s="12">
        <f>IF(E7=0,0,E10/E7)</f>
        <v/>
      </c>
      <c r="F11" s="12">
        <f>IF(F7=0,0,F10/F7)</f>
        <v/>
      </c>
      <c r="G11" s="12">
        <f>IF(G7=0,0,G10/G7)</f>
        <v/>
      </c>
      <c r="H11" s="12">
        <f>IF(H7=0,0,H10/H7)</f>
        <v/>
      </c>
      <c r="I11" s="12">
        <f>IF(I7=0,0,I10/I7)</f>
        <v/>
      </c>
      <c r="J11" s="12">
        <f>IF(J7=0,0,J10/J7)</f>
        <v/>
      </c>
      <c r="K11" s="12">
        <f>IF(K7=0,0,K10/K7)</f>
        <v/>
      </c>
      <c r="L11" s="12">
        <f>IF(L7=0,0,L10/L7)</f>
        <v/>
      </c>
      <c r="M11" s="12">
        <f>IF(M7=0,0,M10/M7)</f>
        <v/>
      </c>
      <c r="N11" s="12">
        <f>IF(N7=0,0,N10/N7)</f>
        <v/>
      </c>
      <c r="O11" s="12">
        <f>IF(O7=0,0,O10/O7)</f>
        <v/>
      </c>
      <c r="P11" s="12">
        <f>IF(P7=0,0,P10/P7)</f>
        <v/>
      </c>
      <c r="Q11" s="12">
        <f>IF(Q7=0,0,Q10/Q7)</f>
        <v/>
      </c>
      <c r="R11" s="12">
        <f>IF(R7=0,0,R10/R7)</f>
        <v/>
      </c>
      <c r="S11" s="12">
        <f>IF(S7=0,0,S10/S7)</f>
        <v/>
      </c>
      <c r="T11" s="12">
        <f>IF(T7=0,0,T10/T7)</f>
        <v/>
      </c>
      <c r="U11" s="21">
        <f>U10/U7</f>
        <v/>
      </c>
    </row>
    <row r="12">
      <c r="A12" s="4" t="inlineStr">
        <is>
          <t>Opex (legal &amp; admin)</t>
        </is>
      </c>
      <c r="B12" s="14">
        <f>-Assumptions!$B$23</f>
        <v/>
      </c>
      <c r="C12" s="14">
        <f>-Assumptions!$B$23</f>
        <v/>
      </c>
      <c r="D12" s="14">
        <f>-Assumptions!$B$23</f>
        <v/>
      </c>
      <c r="E12" s="14">
        <f>-Assumptions!$B$23</f>
        <v/>
      </c>
      <c r="F12" s="14">
        <f>-Assumptions!$B$23</f>
        <v/>
      </c>
      <c r="G12" s="14">
        <f>-Assumptions!$B$23</f>
        <v/>
      </c>
      <c r="H12" s="14">
        <f>-Assumptions!$B$23</f>
        <v/>
      </c>
      <c r="I12" s="14">
        <f>-Assumptions!$B$23</f>
        <v/>
      </c>
      <c r="J12" s="14">
        <f>-Assumptions!$B$23</f>
        <v/>
      </c>
      <c r="K12" s="14">
        <f>-Assumptions!$B$23</f>
        <v/>
      </c>
      <c r="L12" s="14">
        <f>-Assumptions!$B$23</f>
        <v/>
      </c>
      <c r="M12" s="14">
        <f>-Assumptions!$B$23</f>
        <v/>
      </c>
      <c r="N12" s="14">
        <f>-Assumptions!$B$23</f>
        <v/>
      </c>
      <c r="O12" s="14">
        <f>-Assumptions!$B$23</f>
        <v/>
      </c>
      <c r="P12" s="14">
        <f>-Assumptions!$B$23</f>
        <v/>
      </c>
      <c r="Q12" s="14">
        <f>-Assumptions!$B$23</f>
        <v/>
      </c>
      <c r="R12" s="14">
        <f>-Assumptions!$B$23</f>
        <v/>
      </c>
      <c r="S12" s="14">
        <f>-Assumptions!$B$23</f>
        <v/>
      </c>
      <c r="T12" s="14">
        <f>-Assumptions!$B$23</f>
        <v/>
      </c>
      <c r="U12" s="15">
        <f>SUM(B12:T12)</f>
        <v/>
      </c>
    </row>
    <row r="13">
      <c r="A13" s="3" t="inlineStr">
        <is>
          <t>EBITDA</t>
        </is>
      </c>
      <c r="B13" s="15">
        <f>B10+B12</f>
        <v/>
      </c>
      <c r="C13" s="15">
        <f>C10+C12</f>
        <v/>
      </c>
      <c r="D13" s="15">
        <f>D10+D12</f>
        <v/>
      </c>
      <c r="E13" s="15">
        <f>E10+E12</f>
        <v/>
      </c>
      <c r="F13" s="15">
        <f>F10+F12</f>
        <v/>
      </c>
      <c r="G13" s="15">
        <f>G10+G12</f>
        <v/>
      </c>
      <c r="H13" s="15">
        <f>H10+H12</f>
        <v/>
      </c>
      <c r="I13" s="15">
        <f>I10+I12</f>
        <v/>
      </c>
      <c r="J13" s="15">
        <f>J10+J12</f>
        <v/>
      </c>
      <c r="K13" s="15">
        <f>K10+K12</f>
        <v/>
      </c>
      <c r="L13" s="15">
        <f>L10+L12</f>
        <v/>
      </c>
      <c r="M13" s="15">
        <f>M10+M12</f>
        <v/>
      </c>
      <c r="N13" s="15">
        <f>N10+N12</f>
        <v/>
      </c>
      <c r="O13" s="15">
        <f>O10+O12</f>
        <v/>
      </c>
      <c r="P13" s="15">
        <f>P10+P12</f>
        <v/>
      </c>
      <c r="Q13" s="15">
        <f>Q10+Q12</f>
        <v/>
      </c>
      <c r="R13" s="15">
        <f>R10+R12</f>
        <v/>
      </c>
      <c r="S13" s="15">
        <f>S10+S12</f>
        <v/>
      </c>
      <c r="T13" s="15">
        <f>T10+T12</f>
        <v/>
      </c>
      <c r="U13" s="15">
        <f>SUM(B13:T13)</f>
        <v/>
      </c>
    </row>
    <row r="14">
      <c r="A14" s="4" t="inlineStr">
        <is>
          <t>EBITDA %</t>
        </is>
      </c>
      <c r="B14" s="12">
        <f>IF(B7=0,0,B13/B7)</f>
        <v/>
      </c>
      <c r="C14" s="12">
        <f>IF(C7=0,0,C13/C7)</f>
        <v/>
      </c>
      <c r="D14" s="12">
        <f>IF(D7=0,0,D13/D7)</f>
        <v/>
      </c>
      <c r="E14" s="12">
        <f>IF(E7=0,0,E13/E7)</f>
        <v/>
      </c>
      <c r="F14" s="12">
        <f>IF(F7=0,0,F13/F7)</f>
        <v/>
      </c>
      <c r="G14" s="12">
        <f>IF(G7=0,0,G13/G7)</f>
        <v/>
      </c>
      <c r="H14" s="12">
        <f>IF(H7=0,0,H13/H7)</f>
        <v/>
      </c>
      <c r="I14" s="12">
        <f>IF(I7=0,0,I13/I7)</f>
        <v/>
      </c>
      <c r="J14" s="12">
        <f>IF(J7=0,0,J13/J7)</f>
        <v/>
      </c>
      <c r="K14" s="12">
        <f>IF(K7=0,0,K13/K7)</f>
        <v/>
      </c>
      <c r="L14" s="12">
        <f>IF(L7=0,0,L13/L7)</f>
        <v/>
      </c>
      <c r="M14" s="12">
        <f>IF(M7=0,0,M13/M7)</f>
        <v/>
      </c>
      <c r="N14" s="12">
        <f>IF(N7=0,0,N13/N7)</f>
        <v/>
      </c>
      <c r="O14" s="12">
        <f>IF(O7=0,0,O13/O7)</f>
        <v/>
      </c>
      <c r="P14" s="12">
        <f>IF(P7=0,0,P13/P7)</f>
        <v/>
      </c>
      <c r="Q14" s="12">
        <f>IF(Q7=0,0,Q13/Q7)</f>
        <v/>
      </c>
      <c r="R14" s="12">
        <f>IF(R7=0,0,R13/R7)</f>
        <v/>
      </c>
      <c r="S14" s="12">
        <f>IF(S7=0,0,S13/S7)</f>
        <v/>
      </c>
      <c r="T14" s="12">
        <f>IF(T7=0,0,T13/T7)</f>
        <v/>
      </c>
      <c r="U14" s="21">
        <f>U13/U7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CASHFLOW (CASH BASIS) — brand entity</t>
        </is>
      </c>
    </row>
    <row r="3">
      <c r="A3" s="3" t="inlineStr">
        <is>
          <t>Month</t>
        </is>
      </c>
      <c r="B3" s="16" t="n">
        <v>46174</v>
      </c>
      <c r="C3" s="16" t="n">
        <v>46204</v>
      </c>
      <c r="D3" s="16" t="n">
        <v>46235</v>
      </c>
      <c r="E3" s="16" t="n">
        <v>46266</v>
      </c>
      <c r="F3" s="16" t="n">
        <v>46296</v>
      </c>
      <c r="G3" s="16" t="n">
        <v>46327</v>
      </c>
      <c r="H3" s="16" t="n">
        <v>46357</v>
      </c>
      <c r="I3" s="16" t="n">
        <v>46388</v>
      </c>
      <c r="J3" s="16" t="n">
        <v>46419</v>
      </c>
      <c r="K3" s="16" t="n">
        <v>46447</v>
      </c>
      <c r="L3" s="16" t="n">
        <v>46478</v>
      </c>
      <c r="M3" s="16" t="n">
        <v>46508</v>
      </c>
      <c r="N3" s="16" t="n">
        <v>46539</v>
      </c>
      <c r="O3" s="16" t="n">
        <v>46569</v>
      </c>
      <c r="P3" s="16" t="n">
        <v>46600</v>
      </c>
      <c r="Q3" s="16" t="n">
        <v>46631</v>
      </c>
      <c r="R3" s="16" t="n">
        <v>46661</v>
      </c>
      <c r="S3" s="16" t="n">
        <v>46692</v>
      </c>
      <c r="T3" s="16" t="n">
        <v>46722</v>
      </c>
      <c r="U3" s="3" t="inlineStr">
        <is>
          <t>TOTAL</t>
        </is>
      </c>
    </row>
    <row r="4">
      <c r="A4" s="4" t="inlineStr">
        <is>
          <t>Can receipts (revenue +30 days)</t>
        </is>
      </c>
      <c r="B4" s="14" t="n">
        <v>0</v>
      </c>
      <c r="C4" s="20">
        <f>'P&amp;L'!B5</f>
        <v/>
      </c>
      <c r="D4" s="20">
        <f>'P&amp;L'!C5</f>
        <v/>
      </c>
      <c r="E4" s="20">
        <f>'P&amp;L'!D5</f>
        <v/>
      </c>
      <c r="F4" s="20">
        <f>'P&amp;L'!E5</f>
        <v/>
      </c>
      <c r="G4" s="20">
        <f>'P&amp;L'!F5</f>
        <v/>
      </c>
      <c r="H4" s="20">
        <f>'P&amp;L'!G5</f>
        <v/>
      </c>
      <c r="I4" s="20">
        <f>'P&amp;L'!H5</f>
        <v/>
      </c>
      <c r="J4" s="20">
        <f>'P&amp;L'!I5</f>
        <v/>
      </c>
      <c r="K4" s="20">
        <f>'P&amp;L'!J5</f>
        <v/>
      </c>
      <c r="L4" s="20">
        <f>'P&amp;L'!K5</f>
        <v/>
      </c>
      <c r="M4" s="20">
        <f>'P&amp;L'!L5</f>
        <v/>
      </c>
      <c r="N4" s="20">
        <f>'P&amp;L'!M5</f>
        <v/>
      </c>
      <c r="O4" s="20">
        <f>'P&amp;L'!N5</f>
        <v/>
      </c>
      <c r="P4" s="20">
        <f>'P&amp;L'!O5</f>
        <v/>
      </c>
      <c r="Q4" s="20">
        <f>'P&amp;L'!P5</f>
        <v/>
      </c>
      <c r="R4" s="20">
        <f>'P&amp;L'!Q5</f>
        <v/>
      </c>
      <c r="S4" s="20">
        <f>'P&amp;L'!R5</f>
        <v/>
      </c>
      <c r="T4" s="20">
        <f>'P&amp;L'!S5</f>
        <v/>
      </c>
      <c r="U4" s="15">
        <f>SUM(B4:T4)</f>
        <v/>
      </c>
    </row>
    <row r="5">
      <c r="A5" s="4" t="inlineStr">
        <is>
          <t xml:space="preserve">  Bron Pro (design/brand)</t>
        </is>
      </c>
      <c r="B5" s="14">
        <f>-103500*Assumptions!$B$24</f>
        <v/>
      </c>
      <c r="D5" s="14">
        <f>-243800*Assumptions!$B$24</f>
        <v/>
      </c>
      <c r="U5" s="14">
        <f>SUM(B5:T5)</f>
        <v/>
      </c>
    </row>
    <row r="6">
      <c r="A6" s="4" t="inlineStr">
        <is>
          <t xml:space="preserve">  Sullwaldt printing</t>
        </is>
      </c>
      <c r="C6" s="14">
        <f>-91066*Assumptions!$B$24</f>
        <v/>
      </c>
      <c r="F6" s="14">
        <f>-72400*Assumptions!$B$24</f>
        <v/>
      </c>
      <c r="U6" s="14">
        <f>SUM(B6:T6)</f>
        <v/>
      </c>
    </row>
    <row r="7">
      <c r="A7" s="4" t="inlineStr">
        <is>
          <t xml:space="preserve">  Tiny Keg cans</t>
        </is>
      </c>
      <c r="C7" s="14">
        <f>-405950*Assumptions!$B$24</f>
        <v/>
      </c>
      <c r="E7" s="14">
        <f>-319000*Assumptions!$B$24</f>
        <v/>
      </c>
      <c r="U7" s="14">
        <f>SUM(B7:T7)</f>
        <v/>
      </c>
    </row>
    <row r="8">
      <c r="A8" s="4" t="inlineStr">
        <is>
          <t xml:space="preserve">  Chep pallets</t>
        </is>
      </c>
      <c r="B8" s="14">
        <f>-14375*Assumptions!$B$24</f>
        <v/>
      </c>
      <c r="U8" s="14">
        <f>SUM(B8:T8)</f>
        <v/>
      </c>
    </row>
    <row r="9">
      <c r="A9" s="4" t="inlineStr">
        <is>
          <t xml:space="preserve">  FAL distribution</t>
        </is>
      </c>
      <c r="C9" s="14">
        <f>-51750*Assumptions!$B$24</f>
        <v/>
      </c>
      <c r="F9" s="14">
        <f>-28000*Assumptions!$B$24</f>
        <v/>
      </c>
      <c r="U9" s="14">
        <f>SUM(B9:T9)</f>
        <v/>
      </c>
    </row>
    <row r="10">
      <c r="A10" s="4" t="inlineStr">
        <is>
          <t xml:space="preserve">  Tiny Keg production</t>
        </is>
      </c>
      <c r="D10" s="14">
        <f>-373350*Assumptions!$B$24</f>
        <v/>
      </c>
      <c r="E10" s="14">
        <f>-293250*Assumptions!$B$24</f>
        <v/>
      </c>
      <c r="U10" s="14">
        <f>SUM(B10:T10)</f>
        <v/>
      </c>
    </row>
    <row r="11">
      <c r="A11" s="4" t="inlineStr">
        <is>
          <t xml:space="preserve">  SARS excise (launch)</t>
        </is>
      </c>
      <c r="E11" s="14">
        <f>-630000*Assumptions!$B$24</f>
        <v/>
      </c>
      <c r="G11" s="14">
        <f>-495571*Assumptions!$B$24</f>
        <v/>
      </c>
      <c r="U11" s="14">
        <f>SUM(B11:T11)</f>
        <v/>
      </c>
    </row>
    <row r="12">
      <c r="A12" s="4" t="inlineStr">
        <is>
          <t xml:space="preserve">  Legal &amp; admin (2026)</t>
        </is>
      </c>
      <c r="C12" s="14" t="n">
        <v>-57500</v>
      </c>
      <c r="U12" s="14">
        <f>SUM(B12:T12)</f>
        <v/>
      </c>
    </row>
    <row r="13">
      <c r="A13" s="4" t="inlineStr">
        <is>
          <t xml:space="preserve">  Bottles net contribution (GM, cash in month)</t>
        </is>
      </c>
      <c r="B13" s="20">
        <f>'P&amp;L'!B6*Bottles!$B$22</f>
        <v/>
      </c>
      <c r="C13" s="20">
        <f>'P&amp;L'!C6*Bottles!$B$22</f>
        <v/>
      </c>
      <c r="D13" s="20">
        <f>'P&amp;L'!D6*Bottles!$B$22</f>
        <v/>
      </c>
      <c r="E13" s="20">
        <f>'P&amp;L'!E6*Bottles!$B$22</f>
        <v/>
      </c>
      <c r="F13" s="20">
        <f>'P&amp;L'!F6*Bottles!$B$22</f>
        <v/>
      </c>
      <c r="G13" s="20">
        <f>'P&amp;L'!G6*Bottles!$B$22</f>
        <v/>
      </c>
      <c r="H13" s="20">
        <f>'P&amp;L'!H6*Bottles!$B$22</f>
        <v/>
      </c>
      <c r="I13" s="20">
        <f>'P&amp;L'!I6*Bottles!$B$22</f>
        <v/>
      </c>
      <c r="J13" s="20">
        <f>'P&amp;L'!J6*Bottles!$B$22</f>
        <v/>
      </c>
      <c r="K13" s="20">
        <f>'P&amp;L'!K6*Bottles!$B$22</f>
        <v/>
      </c>
      <c r="L13" s="20">
        <f>'P&amp;L'!L6*Bottles!$B$22</f>
        <v/>
      </c>
      <c r="M13" s="20">
        <f>'P&amp;L'!M6*Bottles!$B$22</f>
        <v/>
      </c>
      <c r="N13" s="20">
        <f>'P&amp;L'!N6*Bottles!$B$22</f>
        <v/>
      </c>
      <c r="O13" s="20">
        <f>'P&amp;L'!O6*Bottles!$B$22</f>
        <v/>
      </c>
      <c r="P13" s="20">
        <f>'P&amp;L'!P6*Bottles!$B$22</f>
        <v/>
      </c>
      <c r="Q13" s="20">
        <f>'P&amp;L'!Q6*Bottles!$B$22</f>
        <v/>
      </c>
      <c r="R13" s="20">
        <f>'P&amp;L'!R6*Bottles!$B$22</f>
        <v/>
      </c>
      <c r="S13" s="20">
        <f>'P&amp;L'!S6*Bottles!$B$22</f>
        <v/>
      </c>
      <c r="T13" s="20">
        <f>'P&amp;L'!T6*Bottles!$B$22</f>
        <v/>
      </c>
      <c r="U13" s="14">
        <f>SUM(B13:T13)</f>
        <v/>
      </c>
    </row>
    <row r="14">
      <c r="A14" s="4" t="inlineStr">
        <is>
          <t xml:space="preserve">  2027 recurring can COGS + opex</t>
        </is>
      </c>
      <c r="I14" s="14">
        <f>-('P&amp;L'!I5*Assumptions!$B$21+Assumptions!$B$23)</f>
        <v/>
      </c>
      <c r="J14" s="14">
        <f>-('P&amp;L'!J5*Assumptions!$B$21+Assumptions!$B$23)</f>
        <v/>
      </c>
      <c r="K14" s="14">
        <f>-('P&amp;L'!K5*Assumptions!$B$21+Assumptions!$B$23)</f>
        <v/>
      </c>
      <c r="L14" s="14">
        <f>-('P&amp;L'!L5*Assumptions!$B$21+Assumptions!$B$23)</f>
        <v/>
      </c>
      <c r="M14" s="14">
        <f>-('P&amp;L'!M5*Assumptions!$B$21+Assumptions!$B$23)</f>
        <v/>
      </c>
      <c r="N14" s="14">
        <f>-('P&amp;L'!N5*Assumptions!$B$21+Assumptions!$B$23)</f>
        <v/>
      </c>
      <c r="O14" s="14">
        <f>-('P&amp;L'!O5*Assumptions!$B$21+Assumptions!$B$23)</f>
        <v/>
      </c>
      <c r="P14" s="14">
        <f>-('P&amp;L'!P5*Assumptions!$B$21+Assumptions!$B$23)</f>
        <v/>
      </c>
      <c r="Q14" s="14">
        <f>-('P&amp;L'!Q5*Assumptions!$B$21+Assumptions!$B$23)</f>
        <v/>
      </c>
      <c r="R14" s="14">
        <f>-('P&amp;L'!R5*Assumptions!$B$21+Assumptions!$B$23)</f>
        <v/>
      </c>
      <c r="S14" s="14">
        <f>-('P&amp;L'!S5*Assumptions!$B$21+Assumptions!$B$23)</f>
        <v/>
      </c>
      <c r="T14" s="14">
        <f>-('P&amp;L'!T5*Assumptions!$B$21+Assumptions!$B$23)</f>
        <v/>
      </c>
      <c r="U14" s="14">
        <f>SUM(B14:T14)</f>
        <v/>
      </c>
    </row>
    <row r="15">
      <c r="A15" s="3" t="inlineStr">
        <is>
          <t>Net monthly cashflow</t>
        </is>
      </c>
      <c r="B15" s="15">
        <f>SUM(B4:B14)</f>
        <v/>
      </c>
      <c r="C15" s="15">
        <f>SUM(C4:C14)</f>
        <v/>
      </c>
      <c r="D15" s="15">
        <f>SUM(D4:D14)</f>
        <v/>
      </c>
      <c r="E15" s="15">
        <f>SUM(E4:E14)</f>
        <v/>
      </c>
      <c r="F15" s="15">
        <f>SUM(F4:F14)</f>
        <v/>
      </c>
      <c r="G15" s="15">
        <f>SUM(G4:G14)</f>
        <v/>
      </c>
      <c r="H15" s="15">
        <f>SUM(H4:H14)</f>
        <v/>
      </c>
      <c r="I15" s="15">
        <f>SUM(I4:I14)</f>
        <v/>
      </c>
      <c r="J15" s="15">
        <f>SUM(J4:J14)</f>
        <v/>
      </c>
      <c r="K15" s="15">
        <f>SUM(K4:K14)</f>
        <v/>
      </c>
      <c r="L15" s="15">
        <f>SUM(L4:L14)</f>
        <v/>
      </c>
      <c r="M15" s="15">
        <f>SUM(M4:M14)</f>
        <v/>
      </c>
      <c r="N15" s="15">
        <f>SUM(N4:N14)</f>
        <v/>
      </c>
      <c r="O15" s="15">
        <f>SUM(O4:O14)</f>
        <v/>
      </c>
      <c r="P15" s="15">
        <f>SUM(P4:P14)</f>
        <v/>
      </c>
      <c r="Q15" s="15">
        <f>SUM(Q4:Q14)</f>
        <v/>
      </c>
      <c r="R15" s="15">
        <f>SUM(R4:R14)</f>
        <v/>
      </c>
      <c r="S15" s="15">
        <f>SUM(S4:S14)</f>
        <v/>
      </c>
      <c r="T15" s="15">
        <f>SUM(T4:T14)</f>
        <v/>
      </c>
      <c r="U15" s="15">
        <f>SUM(B15:T15)</f>
        <v/>
      </c>
    </row>
    <row r="16">
      <c r="A16" s="3" t="inlineStr">
        <is>
          <t>Cumulative cash position</t>
        </is>
      </c>
      <c r="B16" s="15">
        <f>B15</f>
        <v/>
      </c>
      <c r="C16" s="15">
        <f>B16+C15</f>
        <v/>
      </c>
      <c r="D16" s="15">
        <f>C16+D15</f>
        <v/>
      </c>
      <c r="E16" s="15">
        <f>D16+E15</f>
        <v/>
      </c>
      <c r="F16" s="15">
        <f>E16+F15</f>
        <v/>
      </c>
      <c r="G16" s="15">
        <f>F16+G15</f>
        <v/>
      </c>
      <c r="H16" s="15">
        <f>G16+H15</f>
        <v/>
      </c>
      <c r="I16" s="15">
        <f>H16+I15</f>
        <v/>
      </c>
      <c r="J16" s="15">
        <f>I16+J15</f>
        <v/>
      </c>
      <c r="K16" s="15">
        <f>J16+K15</f>
        <v/>
      </c>
      <c r="L16" s="15">
        <f>K16+L15</f>
        <v/>
      </c>
      <c r="M16" s="15">
        <f>L16+M15</f>
        <v/>
      </c>
      <c r="N16" s="15">
        <f>M16+N15</f>
        <v/>
      </c>
      <c r="O16" s="15">
        <f>N16+O15</f>
        <v/>
      </c>
      <c r="P16" s="15">
        <f>O16+P15</f>
        <v/>
      </c>
      <c r="Q16" s="15">
        <f>P16+Q15</f>
        <v/>
      </c>
      <c r="R16" s="15">
        <f>Q16+R15</f>
        <v/>
      </c>
      <c r="S16" s="15">
        <f>R16+S15</f>
        <v/>
      </c>
      <c r="T16" s="15">
        <f>S16+T15</f>
        <v/>
      </c>
    </row>
    <row r="18">
      <c r="A18" s="2" t="inlineStr">
        <is>
          <t>Note: 2026 launch costs are the project model's quoted cash costs, scaled by the store factor (Assumptions!B24); legal retainer unscaled.</t>
        </is>
      </c>
    </row>
    <row r="19">
      <c r="A19" s="2" t="inlineStr">
        <is>
          <t>Bottles assumed cash-in-month at gross margin; 2027 steady-state can COGS paid in month of delivery.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62" customWidth="1" min="5" max="5"/>
  </cols>
  <sheetData>
    <row r="1">
      <c r="A1" s="1" t="inlineStr">
        <is>
          <t>VALUATION — Doña Fuego brand entity (cans + bottles)</t>
        </is>
      </c>
    </row>
    <row r="3">
      <c r="A3" s="3" t="inlineStr">
        <is>
          <t>Key metrics (linked to P&amp;L)</t>
        </is>
      </c>
    </row>
    <row r="4">
      <c r="A4" s="4" t="inlineStr">
        <is>
          <t>2026 (Jun–Dec) revenue</t>
        </is>
      </c>
      <c r="B4" s="20">
        <f>SUM('P&amp;L'!B7:H7)</f>
        <v/>
      </c>
    </row>
    <row r="5">
      <c r="A5" s="4" t="inlineStr">
        <is>
          <t>2026 (Jun–Dec) EBITDA</t>
        </is>
      </c>
      <c r="B5" s="20">
        <f>SUM('P&amp;L'!B13:H13)</f>
        <v/>
      </c>
    </row>
    <row r="6">
      <c r="A6" s="4" t="inlineStr">
        <is>
          <t>2027 revenue</t>
        </is>
      </c>
      <c r="B6" s="20">
        <f>SUM('P&amp;L'!I7:T7)</f>
        <v/>
      </c>
    </row>
    <row r="7">
      <c r="A7" s="4" t="inlineStr">
        <is>
          <t>2027 EBITDA</t>
        </is>
      </c>
      <c r="B7" s="20">
        <f>SUM('P&amp;L'!I13:T13)</f>
        <v/>
      </c>
    </row>
    <row r="9">
      <c r="A9" s="3" t="inlineStr">
        <is>
          <t>Method 1: EV/EBITDA on 2027 EBITDA</t>
        </is>
      </c>
      <c r="B9" s="3" t="inlineStr">
        <is>
          <t>Low</t>
        </is>
      </c>
      <c r="C9" s="3" t="inlineStr">
        <is>
          <t>Base</t>
        </is>
      </c>
      <c r="D9" s="3" t="inlineStr">
        <is>
          <t>High</t>
        </is>
      </c>
    </row>
    <row r="10">
      <c r="A10" s="4" t="inlineStr">
        <is>
          <t>Multiple</t>
        </is>
      </c>
      <c r="B10" s="22" t="n">
        <v>6</v>
      </c>
      <c r="C10" s="22" t="n">
        <v>9</v>
      </c>
      <c r="D10" s="22" t="n">
        <v>12</v>
      </c>
    </row>
    <row r="11">
      <c r="A11" s="4" t="inlineStr">
        <is>
          <t>Enterprise value</t>
        </is>
      </c>
      <c r="B11" s="14">
        <f>$B$7*B10</f>
        <v/>
      </c>
      <c r="C11" s="14">
        <f>$B$7*C10</f>
        <v/>
      </c>
      <c r="D11" s="14">
        <f>$B$7*D10</f>
        <v/>
      </c>
    </row>
    <row r="13">
      <c r="A13" s="3" t="inlineStr">
        <is>
          <t>Method 2: EV/Revenue on 2027 revenue</t>
        </is>
      </c>
    </row>
    <row r="14">
      <c r="A14" s="4" t="inlineStr">
        <is>
          <t>Multiple</t>
        </is>
      </c>
      <c r="B14" s="22" t="n">
        <v>1</v>
      </c>
      <c r="C14" s="22" t="n">
        <v>1.5</v>
      </c>
      <c r="D14" s="22" t="n">
        <v>2.5</v>
      </c>
    </row>
    <row r="15">
      <c r="A15" s="4" t="inlineStr">
        <is>
          <t>Enterprise value</t>
        </is>
      </c>
      <c r="B15" s="14">
        <f>$B$6*B14</f>
        <v/>
      </c>
      <c r="C15" s="14">
        <f>$B$6*C14</f>
        <v/>
      </c>
      <c r="D15" s="14">
        <f>$B$6*D14</f>
        <v/>
      </c>
    </row>
    <row r="17">
      <c r="A17" s="3" t="inlineStr">
        <is>
          <t>Method 3: simplified DCF (EBITDA as cash proxy)</t>
        </is>
      </c>
    </row>
    <row r="18">
      <c r="A18" s="4" t="inlineStr">
        <is>
          <t>WACC</t>
        </is>
      </c>
      <c r="B18" s="11" t="n">
        <v>0.22</v>
      </c>
      <c r="C18" s="11" t="n">
        <v>0.18</v>
      </c>
      <c r="D18" s="11" t="n">
        <v>0.15</v>
      </c>
    </row>
    <row r="19">
      <c r="A19" s="4" t="inlineStr">
        <is>
          <t>Exit multiple (2027 EBITDA)</t>
        </is>
      </c>
      <c r="B19" s="22" t="n">
        <v>6</v>
      </c>
      <c r="C19" s="22" t="n">
        <v>8</v>
      </c>
      <c r="D19" s="22" t="n">
        <v>10</v>
      </c>
    </row>
    <row r="20">
      <c r="A20" s="4" t="inlineStr">
        <is>
          <t>Enterprise value (DCF)</t>
        </is>
      </c>
      <c r="B20" s="14">
        <f>$B$5/(1+B18)^0.25+$B$7/(1+B18)+$B$7*B19/(1+B18)^1.5</f>
        <v/>
      </c>
      <c r="C20" s="14">
        <f>$B$5/(1+C18)^0.25+$B$7/(1+C18)+$B$7*C19/(1+C18)^1.5</f>
        <v/>
      </c>
      <c r="D20" s="14">
        <f>$B$5/(1+D18)^0.25+$B$7/(1+D18)+$B$7*D19/(1+D18)^1.5</f>
        <v/>
      </c>
    </row>
    <row r="22">
      <c r="A22" s="3" t="inlineStr">
        <is>
          <t>Blended enterprise value (avg of methods)</t>
        </is>
      </c>
      <c r="B22" s="15">
        <f>AVERAGE(B11,B15,B20)</f>
        <v/>
      </c>
      <c r="C22" s="15">
        <f>AVERAGE(C11,C15,C20)</f>
        <v/>
      </c>
      <c r="D22" s="15">
        <f>AVERAGE(D11,D15,D20)</f>
        <v/>
      </c>
    </row>
    <row r="24">
      <c r="A24" s="3" t="inlineStr">
        <is>
          <t>Valuation guide for the raise</t>
        </is>
      </c>
      <c r="B24" s="23" t="n">
        <v>15000000</v>
      </c>
      <c r="E24" s="2" t="inlineStr">
        <is>
          <t>With bottles modelled off three years of actuals, the ~R15m guide equals the blended LOW case; better-than-flat reorders, new retailers and export remain outside the model.</t>
        </is>
      </c>
    </row>
    <row r="26">
      <c r="A26" s="2" t="inlineStr">
        <is>
          <t>Same three methods and multiples as the tequila project model, applied to brand-entity economics.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SUMMARY — Doña Fuego Brand Pro Forma</t>
        </is>
      </c>
    </row>
    <row r="3">
      <c r="A3" s="3" t="inlineStr">
        <is>
          <t>Checkers listing</t>
        </is>
      </c>
      <c r="B3" s="24">
        <f>Assumptions!B4&amp;" stores + Sixty60, Aug 2026"</f>
        <v/>
      </c>
    </row>
    <row r="4">
      <c r="A4" s="3" t="inlineStr">
        <is>
          <t>Opening order (initial fill revenue)</t>
        </is>
      </c>
      <c r="B4" s="20">
        <f>'P&amp;L'!D5</f>
        <v/>
      </c>
    </row>
    <row r="5">
      <c r="A5" s="3" t="inlineStr">
        <is>
          <t>Bottle revenue (Jun 26 – Dec 27)</t>
        </is>
      </c>
      <c r="B5" s="20">
        <f>'P&amp;L'!U6</f>
        <v/>
      </c>
    </row>
    <row r="6">
      <c r="A6" s="3" t="inlineStr">
        <is>
          <t>Total revenue, cans + bottles (Jun 26 – Dec 27)</t>
        </is>
      </c>
      <c r="B6" s="20">
        <f>'P&amp;L'!U7</f>
        <v/>
      </c>
    </row>
    <row r="7">
      <c r="A7" s="3" t="inlineStr">
        <is>
          <t>Total EBITDA (Jun 26 – Dec 27)</t>
        </is>
      </c>
      <c r="B7" s="20">
        <f>'P&amp;L'!U13</f>
        <v/>
      </c>
    </row>
    <row r="8">
      <c r="A8" s="3" t="inlineStr">
        <is>
          <t>EBITDA margin</t>
        </is>
      </c>
      <c r="B8" s="25">
        <f>'P&amp;L'!U14</f>
        <v/>
      </c>
    </row>
    <row r="9">
      <c r="A9" s="3" t="inlineStr">
        <is>
          <t>Peak funding need</t>
        </is>
      </c>
      <c r="B9" s="20">
        <f>MIN(Cashflow!B16:T16)</f>
        <v/>
      </c>
    </row>
    <row r="10">
      <c r="A10" s="3" t="inlineStr">
        <is>
          <t>Ending cash (Dec 27)</t>
        </is>
      </c>
      <c r="B10" s="20">
        <f>Cashflow!T16</f>
        <v/>
      </c>
    </row>
    <row r="11">
      <c r="A11" s="3" t="inlineStr">
        <is>
          <t>Blended valuation — low</t>
        </is>
      </c>
      <c r="B11" s="20">
        <f>Valuation!B22</f>
        <v/>
      </c>
    </row>
    <row r="12">
      <c r="A12" s="3" t="inlineStr">
        <is>
          <t>Blended valuation — base</t>
        </is>
      </c>
      <c r="B12" s="20">
        <f>Valuation!C22</f>
        <v/>
      </c>
    </row>
    <row r="13">
      <c r="A13" s="3" t="inlineStr">
        <is>
          <t>Blended valuation — high</t>
        </is>
      </c>
      <c r="B13" s="20">
        <f>Valuation!D22</f>
        <v/>
      </c>
    </row>
    <row r="14">
      <c r="A14" s="3" t="inlineStr">
        <is>
          <t>Valuation guide</t>
        </is>
      </c>
      <c r="B14" s="20">
        <f>Valuation!B24</f>
        <v/>
      </c>
    </row>
    <row r="16">
      <c r="A16" s="2" t="inlineStr">
        <is>
          <t>Not modelled (upside): better-than-flat can reorders, post-exclusivity retailers, export. Bottle margin is a placeholder pending cost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2026-08-12T09:19:38Z</dcterms:created>
  <dcterms:modified xsi:type="dcterms:W3CDTF">2026-08-12T09:19:38Z</dcterms:modified>
</cp:coreProperties>
</file>