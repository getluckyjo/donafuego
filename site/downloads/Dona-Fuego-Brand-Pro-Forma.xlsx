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Cashflow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R&quot;#,##0;(&quot;R&quot;#,##0);-"/>
    <numFmt numFmtId="166" formatCode="0.0&quot;x&quot;"/>
    <numFmt numFmtId="167" formatCode="yyyy-mm-dd h:mm:ss"/>
    <numFmt numFmtId="168" formatCode="#,##0;-#,##0;-"/>
    <numFmt numFmtId="169" formatCode="0.0x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2" borderId="0" pivotButton="0" quotePrefix="0" xfId="0"/>
    <xf numFmtId="165" fontId="5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6" fontId="4" fillId="2" borderId="0" pivotButton="0" quotePrefix="0" xfId="0"/>
    <xf numFmtId="17" fontId="3" fillId="0" borderId="0" pivotButton="0" quotePrefix="0" xfId="0"/>
    <xf numFmtId="168" fontId="4" fillId="0" borderId="0" pivotButton="0" quotePrefix="0" xfId="0"/>
    <xf numFmtId="168" fontId="6" fillId="0" borderId="0" pivotButton="0" quotePrefix="0" xfId="0"/>
    <xf numFmtId="3" fontId="3" fillId="0" borderId="0" pivotButton="0" quotePrefix="0" xfId="0"/>
    <xf numFmtId="165" fontId="4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6" fillId="0" borderId="0" pivotButton="0" quotePrefix="0" xfId="0"/>
    <xf numFmtId="169" fontId="5" fillId="0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66" customWidth="1" min="3" max="3"/>
  </cols>
  <sheetData>
    <row r="1">
      <c r="A1" s="1" t="inlineStr">
        <is>
          <t>ASSUMPTIONS — Doña Fuego Brand Pro Forma (cans only)</t>
        </is>
      </c>
    </row>
    <row r="2">
      <c r="A2" s="2" t="inlineStr">
        <is>
          <t>Brand entity scope: Doña Fuego cans. Fuego Tequila bottles NOT yet modelled (sales data pending) — upside.</t>
        </is>
      </c>
    </row>
    <row r="3">
      <c r="A3" s="3" t="inlineStr">
        <is>
          <t>Checkers listing</t>
        </is>
      </c>
    </row>
    <row r="4">
      <c r="A4" s="4" t="inlineStr">
        <is>
          <t>Stores in Checkers listing</t>
        </is>
      </c>
      <c r="B4" s="5" t="n">
        <v>360</v>
      </c>
      <c r="C4" s="2" t="inlineStr">
        <is>
          <t>Final Checkers listing (updated from 300); launch Aug 2026</t>
        </is>
      </c>
    </row>
    <row r="5">
      <c r="A5" s="4" t="inlineStr">
        <is>
          <t>SKUs in listing</t>
        </is>
      </c>
      <c r="B5" s="6" t="n">
        <v>3</v>
      </c>
      <c r="C5" s="2" t="inlineStr">
        <is>
          <t>Margarita, Spicy Margarita, Paloma</t>
        </is>
      </c>
    </row>
    <row r="6">
      <c r="A6" s="4" t="inlineStr">
        <is>
          <t>Cases per store per SKU (initial fill)</t>
        </is>
      </c>
      <c r="B6" s="6" t="n">
        <v>3</v>
      </c>
      <c r="C6" s="2" t="inlineStr">
        <is>
          <t>Per project model</t>
        </is>
      </c>
    </row>
    <row r="7">
      <c r="A7" s="4" t="inlineStr">
        <is>
          <t>Initial fill (cases)</t>
        </is>
      </c>
      <c r="B7" s="7">
        <f>B4*B5*B6</f>
        <v/>
      </c>
    </row>
    <row r="8">
      <c r="A8" s="4" t="inlineStr">
        <is>
          <t>October restock (cases)</t>
        </is>
      </c>
      <c r="B8" s="7">
        <f>1050*B4/300</f>
        <v/>
      </c>
      <c r="C8" s="2" t="inlineStr">
        <is>
          <t>Scaled from 1,050 cases at 300 stores (project model)</t>
        </is>
      </c>
    </row>
    <row r="9">
      <c r="A9" s="3" t="inlineStr">
        <is>
          <t>Reorders</t>
        </is>
      </c>
    </row>
    <row r="10">
      <c r="A10" s="4" t="inlineStr">
        <is>
          <t>Steady-state store reorder (cases/month)</t>
        </is>
      </c>
      <c r="B10" s="7">
        <f>600*B4/300</f>
        <v/>
      </c>
      <c r="C10" s="2" t="inlineStr">
        <is>
          <t>Scaled from 600 cases/month at 300 stores (project model)</t>
        </is>
      </c>
    </row>
    <row r="11">
      <c r="A11" s="4" t="inlineStr">
        <is>
          <t>Sixty60 uplift on steady-state reorders</t>
        </is>
      </c>
      <c r="B11" s="8" t="n">
        <v>0.1</v>
      </c>
      <c r="C11" s="2" t="inlineStr">
        <is>
          <t>MANAGEMENT ESTIMATE (conservative): on-demand delivery adds 10% to monthly reorders</t>
        </is>
      </c>
    </row>
    <row r="12">
      <c r="A12" s="4" t="inlineStr">
        <is>
          <t>Steady-state incl. Sixty60 (cases/month)</t>
        </is>
      </c>
      <c r="B12" s="7">
        <f>ROUND(B10*(1+B11),0)</f>
        <v/>
      </c>
    </row>
    <row r="13">
      <c r="A13" s="4" t="inlineStr">
        <is>
          <t>Wholesale price per case (R)</t>
        </is>
      </c>
      <c r="B13" s="9" t="n">
        <v>847.04</v>
      </c>
      <c r="C13" s="2" t="inlineStr">
        <is>
          <t>Per project model (R169 4-pack / R49 unit retail)</t>
        </is>
      </c>
    </row>
    <row r="14">
      <c r="A14" s="4" t="inlineStr">
        <is>
          <t>Payment terms</t>
        </is>
      </c>
      <c r="B14" s="10" t="inlineStr">
        <is>
          <t>30 days from statement</t>
        </is>
      </c>
    </row>
    <row r="15">
      <c r="A15" s="3" t="inlineStr">
        <is>
          <t>COGS build (% of revenue)</t>
        </is>
      </c>
    </row>
    <row r="16">
      <c r="A16" s="4" t="inlineStr">
        <is>
          <t xml:space="preserve">  Tequila (supply agreement)</t>
        </is>
      </c>
      <c r="B16" s="11" t="n">
        <v>0.18</v>
      </c>
      <c r="C16" s="2" t="inlineStr">
        <is>
          <t>Bulk tequila from Doña Distillery under special supply agreement</t>
        </is>
      </c>
    </row>
    <row r="17">
      <c r="A17" s="4" t="inlineStr">
        <is>
          <t xml:space="preserve">  Packaging (cans, printing, pallets)</t>
        </is>
      </c>
      <c r="B17" s="11" t="n">
        <v>0.16</v>
      </c>
    </row>
    <row r="18">
      <c r="A18" s="4" t="inlineStr">
        <is>
          <t xml:space="preserve">  Co-pack production</t>
        </is>
      </c>
      <c r="B18" s="11" t="n">
        <v>0.12</v>
      </c>
    </row>
    <row r="19">
      <c r="A19" s="4" t="inlineStr">
        <is>
          <t xml:space="preserve">  Distribution (FAL)</t>
        </is>
      </c>
      <c r="B19" s="11" t="n">
        <v>0.04</v>
      </c>
    </row>
    <row r="20">
      <c r="A20" s="4" t="inlineStr">
        <is>
          <t xml:space="preserve">  SARS Excise</t>
        </is>
      </c>
      <c r="B20" s="11" t="n">
        <v>0.2</v>
      </c>
    </row>
    <row r="21">
      <c r="A21" s="4" t="inlineStr">
        <is>
          <t>Total COGS ratio</t>
        </is>
      </c>
      <c r="B21" s="12">
        <f>SUM(B16:B20)</f>
        <v/>
      </c>
    </row>
    <row r="22">
      <c r="A22" s="3" t="inlineStr">
        <is>
          <t>Operating costs</t>
        </is>
      </c>
    </row>
    <row r="23">
      <c r="A23" s="4" t="inlineStr">
        <is>
          <t>Legal &amp; admin (R/month)</t>
        </is>
      </c>
      <c r="B23" s="9" t="n">
        <v>10000</v>
      </c>
      <c r="C23" s="2" t="inlineStr">
        <is>
          <t>Per project model</t>
        </is>
      </c>
    </row>
    <row r="24">
      <c r="A24" s="4" t="inlineStr">
        <is>
          <t>Launch cost scaling vs project model</t>
        </is>
      </c>
      <c r="B24" s="13">
        <f>B4/300</f>
        <v/>
      </c>
      <c r="C24" s="2" t="inlineStr">
        <is>
          <t>Applied to 2026 launch cash costs quoted at 300-store scale</t>
        </is>
      </c>
    </row>
    <row r="26">
      <c r="A26" s="2" t="inlineStr">
        <is>
          <t>Legend: blue = input (edit these) · black = formula · green = link to another sheet · yellow = key assumptions to sense-check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P&amp;L (ACCRUAL) — Doña Fuego cans</t>
        </is>
      </c>
    </row>
    <row r="3">
      <c r="A3" s="3" t="inlineStr">
        <is>
          <t>Month</t>
        </is>
      </c>
      <c r="B3" s="14" t="n">
        <v>46174</v>
      </c>
      <c r="C3" s="14" t="n">
        <v>46204</v>
      </c>
      <c r="D3" s="14" t="n">
        <v>46235</v>
      </c>
      <c r="E3" s="14" t="n">
        <v>46266</v>
      </c>
      <c r="F3" s="14" t="n">
        <v>46296</v>
      </c>
      <c r="G3" s="14" t="n">
        <v>46327</v>
      </c>
      <c r="H3" s="14" t="n">
        <v>46357</v>
      </c>
      <c r="I3" s="14" t="n">
        <v>46388</v>
      </c>
      <c r="J3" s="14" t="n">
        <v>46419</v>
      </c>
      <c r="K3" s="14" t="n">
        <v>46447</v>
      </c>
      <c r="L3" s="14" t="n">
        <v>46478</v>
      </c>
      <c r="M3" s="14" t="n">
        <v>46508</v>
      </c>
      <c r="N3" s="14" t="n">
        <v>46539</v>
      </c>
      <c r="O3" s="14" t="n">
        <v>46569</v>
      </c>
      <c r="P3" s="14" t="n">
        <v>46600</v>
      </c>
      <c r="Q3" s="14" t="n">
        <v>46631</v>
      </c>
      <c r="R3" s="14" t="n">
        <v>46661</v>
      </c>
      <c r="S3" s="14" t="n">
        <v>46692</v>
      </c>
      <c r="T3" s="14" t="n">
        <v>46722</v>
      </c>
      <c r="U3" s="3" t="inlineStr">
        <is>
          <t>TOTAL</t>
        </is>
      </c>
    </row>
    <row r="4">
      <c r="A4" s="4" t="inlineStr">
        <is>
          <t>Cases delivered</t>
        </is>
      </c>
      <c r="B4" s="15" t="n">
        <v>0</v>
      </c>
      <c r="C4" s="15" t="n">
        <v>0</v>
      </c>
      <c r="D4" s="16">
        <f>Assumptions!B7</f>
        <v/>
      </c>
      <c r="E4" s="15" t="n">
        <v>0</v>
      </c>
      <c r="F4" s="16">
        <f>Assumptions!B8</f>
        <v/>
      </c>
      <c r="G4" s="16">
        <f>Assumptions!B12</f>
        <v/>
      </c>
      <c r="H4" s="16">
        <f>Assumptions!B12</f>
        <v/>
      </c>
      <c r="I4" s="16">
        <f>Assumptions!B12</f>
        <v/>
      </c>
      <c r="J4" s="16">
        <f>Assumptions!B12</f>
        <v/>
      </c>
      <c r="K4" s="16">
        <f>Assumptions!B12</f>
        <v/>
      </c>
      <c r="L4" s="16">
        <f>Assumptions!B12</f>
        <v/>
      </c>
      <c r="M4" s="16">
        <f>Assumptions!B12</f>
        <v/>
      </c>
      <c r="N4" s="16">
        <f>Assumptions!B12</f>
        <v/>
      </c>
      <c r="O4" s="16">
        <f>Assumptions!B12</f>
        <v/>
      </c>
      <c r="P4" s="16">
        <f>Assumptions!B12</f>
        <v/>
      </c>
      <c r="Q4" s="16">
        <f>Assumptions!B12</f>
        <v/>
      </c>
      <c r="R4" s="16">
        <f>Assumptions!B12</f>
        <v/>
      </c>
      <c r="S4" s="16">
        <f>Assumptions!B12</f>
        <v/>
      </c>
      <c r="T4" s="16">
        <f>Assumptions!B12</f>
        <v/>
      </c>
      <c r="U4" s="17">
        <f>SUM(B4:T4)</f>
        <v/>
      </c>
    </row>
    <row r="5">
      <c r="A5" s="4" t="inlineStr">
        <is>
          <t>Revenue</t>
        </is>
      </c>
      <c r="B5" s="18">
        <f>B4*Assumptions!$B$13</f>
        <v/>
      </c>
      <c r="C5" s="18">
        <f>C4*Assumptions!$B$13</f>
        <v/>
      </c>
      <c r="D5" s="18">
        <f>D4*Assumptions!$B$13</f>
        <v/>
      </c>
      <c r="E5" s="18">
        <f>E4*Assumptions!$B$13</f>
        <v/>
      </c>
      <c r="F5" s="18">
        <f>F4*Assumptions!$B$13</f>
        <v/>
      </c>
      <c r="G5" s="18">
        <f>G4*Assumptions!$B$13</f>
        <v/>
      </c>
      <c r="H5" s="18">
        <f>H4*Assumptions!$B$13</f>
        <v/>
      </c>
      <c r="I5" s="18">
        <f>I4*Assumptions!$B$13</f>
        <v/>
      </c>
      <c r="J5" s="18">
        <f>J4*Assumptions!$B$13</f>
        <v/>
      </c>
      <c r="K5" s="18">
        <f>K4*Assumptions!$B$13</f>
        <v/>
      </c>
      <c r="L5" s="18">
        <f>L4*Assumptions!$B$13</f>
        <v/>
      </c>
      <c r="M5" s="18">
        <f>M4*Assumptions!$B$13</f>
        <v/>
      </c>
      <c r="N5" s="18">
        <f>N4*Assumptions!$B$13</f>
        <v/>
      </c>
      <c r="O5" s="18">
        <f>O4*Assumptions!$B$13</f>
        <v/>
      </c>
      <c r="P5" s="18">
        <f>P4*Assumptions!$B$13</f>
        <v/>
      </c>
      <c r="Q5" s="18">
        <f>Q4*Assumptions!$B$13</f>
        <v/>
      </c>
      <c r="R5" s="18">
        <f>R4*Assumptions!$B$13</f>
        <v/>
      </c>
      <c r="S5" s="18">
        <f>S4*Assumptions!$B$13</f>
        <v/>
      </c>
      <c r="T5" s="18">
        <f>T4*Assumptions!$B$13</f>
        <v/>
      </c>
      <c r="U5" s="19">
        <f>SUM(B5:T5)</f>
        <v/>
      </c>
    </row>
    <row r="6">
      <c r="A6" s="4" t="inlineStr">
        <is>
          <t>COGS (70% of revenue)</t>
        </is>
      </c>
      <c r="B6" s="18">
        <f>-B5*Assumptions!$B$21</f>
        <v/>
      </c>
      <c r="C6" s="18">
        <f>-C5*Assumptions!$B$21</f>
        <v/>
      </c>
      <c r="D6" s="18">
        <f>-D5*Assumptions!$B$21</f>
        <v/>
      </c>
      <c r="E6" s="18">
        <f>-E5*Assumptions!$B$21</f>
        <v/>
      </c>
      <c r="F6" s="18">
        <f>-F5*Assumptions!$B$21</f>
        <v/>
      </c>
      <c r="G6" s="18">
        <f>-G5*Assumptions!$B$21</f>
        <v/>
      </c>
      <c r="H6" s="18">
        <f>-H5*Assumptions!$B$21</f>
        <v/>
      </c>
      <c r="I6" s="18">
        <f>-I5*Assumptions!$B$21</f>
        <v/>
      </c>
      <c r="J6" s="18">
        <f>-J5*Assumptions!$B$21</f>
        <v/>
      </c>
      <c r="K6" s="18">
        <f>-K5*Assumptions!$B$21</f>
        <v/>
      </c>
      <c r="L6" s="18">
        <f>-L5*Assumptions!$B$21</f>
        <v/>
      </c>
      <c r="M6" s="18">
        <f>-M5*Assumptions!$B$21</f>
        <v/>
      </c>
      <c r="N6" s="18">
        <f>-N5*Assumptions!$B$21</f>
        <v/>
      </c>
      <c r="O6" s="18">
        <f>-O5*Assumptions!$B$21</f>
        <v/>
      </c>
      <c r="P6" s="18">
        <f>-P5*Assumptions!$B$21</f>
        <v/>
      </c>
      <c r="Q6" s="18">
        <f>-Q5*Assumptions!$B$21</f>
        <v/>
      </c>
      <c r="R6" s="18">
        <f>-R5*Assumptions!$B$21</f>
        <v/>
      </c>
      <c r="S6" s="18">
        <f>-S5*Assumptions!$B$21</f>
        <v/>
      </c>
      <c r="T6" s="18">
        <f>-T5*Assumptions!$B$21</f>
        <v/>
      </c>
      <c r="U6" s="19">
        <f>SUM(B6:T6)</f>
        <v/>
      </c>
    </row>
    <row r="7">
      <c r="A7" s="3" t="inlineStr">
        <is>
          <t>Gross margin</t>
        </is>
      </c>
      <c r="B7" s="19">
        <f>B5+B6</f>
        <v/>
      </c>
      <c r="C7" s="19">
        <f>C5+C6</f>
        <v/>
      </c>
      <c r="D7" s="19">
        <f>D5+D6</f>
        <v/>
      </c>
      <c r="E7" s="19">
        <f>E5+E6</f>
        <v/>
      </c>
      <c r="F7" s="19">
        <f>F5+F6</f>
        <v/>
      </c>
      <c r="G7" s="19">
        <f>G5+G6</f>
        <v/>
      </c>
      <c r="H7" s="19">
        <f>H5+H6</f>
        <v/>
      </c>
      <c r="I7" s="19">
        <f>I5+I6</f>
        <v/>
      </c>
      <c r="J7" s="19">
        <f>J5+J6</f>
        <v/>
      </c>
      <c r="K7" s="19">
        <f>K5+K6</f>
        <v/>
      </c>
      <c r="L7" s="19">
        <f>L5+L6</f>
        <v/>
      </c>
      <c r="M7" s="19">
        <f>M5+M6</f>
        <v/>
      </c>
      <c r="N7" s="19">
        <f>N5+N6</f>
        <v/>
      </c>
      <c r="O7" s="19">
        <f>O5+O6</f>
        <v/>
      </c>
      <c r="P7" s="19">
        <f>P5+P6</f>
        <v/>
      </c>
      <c r="Q7" s="19">
        <f>Q5+Q6</f>
        <v/>
      </c>
      <c r="R7" s="19">
        <f>R5+R6</f>
        <v/>
      </c>
      <c r="S7" s="19">
        <f>S5+S6</f>
        <v/>
      </c>
      <c r="T7" s="19">
        <f>T5+T6</f>
        <v/>
      </c>
      <c r="U7" s="19">
        <f>SUM(B7:T7)</f>
        <v/>
      </c>
    </row>
    <row r="8">
      <c r="A8" s="4" t="inlineStr">
        <is>
          <t>Gross margin %</t>
        </is>
      </c>
      <c r="B8" s="12">
        <f>IF(B5=0,0,B7/B5)</f>
        <v/>
      </c>
      <c r="C8" s="12">
        <f>IF(C5=0,0,C7/C5)</f>
        <v/>
      </c>
      <c r="D8" s="12">
        <f>IF(D5=0,0,D7/D5)</f>
        <v/>
      </c>
      <c r="E8" s="12">
        <f>IF(E5=0,0,E7/E5)</f>
        <v/>
      </c>
      <c r="F8" s="12">
        <f>IF(F5=0,0,F7/F5)</f>
        <v/>
      </c>
      <c r="G8" s="12">
        <f>IF(G5=0,0,G7/G5)</f>
        <v/>
      </c>
      <c r="H8" s="12">
        <f>IF(H5=0,0,H7/H5)</f>
        <v/>
      </c>
      <c r="I8" s="12">
        <f>IF(I5=0,0,I7/I5)</f>
        <v/>
      </c>
      <c r="J8" s="12">
        <f>IF(J5=0,0,J7/J5)</f>
        <v/>
      </c>
      <c r="K8" s="12">
        <f>IF(K5=0,0,K7/K5)</f>
        <v/>
      </c>
      <c r="L8" s="12">
        <f>IF(L5=0,0,L7/L5)</f>
        <v/>
      </c>
      <c r="M8" s="12">
        <f>IF(M5=0,0,M7/M5)</f>
        <v/>
      </c>
      <c r="N8" s="12">
        <f>IF(N5=0,0,N7/N5)</f>
        <v/>
      </c>
      <c r="O8" s="12">
        <f>IF(O5=0,0,O7/O5)</f>
        <v/>
      </c>
      <c r="P8" s="12">
        <f>IF(P5=0,0,P7/P5)</f>
        <v/>
      </c>
      <c r="Q8" s="12">
        <f>IF(Q5=0,0,Q7/Q5)</f>
        <v/>
      </c>
      <c r="R8" s="12">
        <f>IF(R5=0,0,R7/R5)</f>
        <v/>
      </c>
      <c r="S8" s="12">
        <f>IF(S5=0,0,S7/S5)</f>
        <v/>
      </c>
      <c r="T8" s="12">
        <f>IF(T5=0,0,T7/T5)</f>
        <v/>
      </c>
      <c r="U8" s="20">
        <f>U7/U5</f>
        <v/>
      </c>
    </row>
    <row r="9">
      <c r="A9" s="4" t="inlineStr">
        <is>
          <t>Opex (legal &amp; admin)</t>
        </is>
      </c>
      <c r="B9" s="18">
        <f>-Assumptions!$B$23</f>
        <v/>
      </c>
      <c r="C9" s="18">
        <f>-Assumptions!$B$23</f>
        <v/>
      </c>
      <c r="D9" s="18">
        <f>-Assumptions!$B$23</f>
        <v/>
      </c>
      <c r="E9" s="18">
        <f>-Assumptions!$B$23</f>
        <v/>
      </c>
      <c r="F9" s="18">
        <f>-Assumptions!$B$23</f>
        <v/>
      </c>
      <c r="G9" s="18">
        <f>-Assumptions!$B$23</f>
        <v/>
      </c>
      <c r="H9" s="18">
        <f>-Assumptions!$B$23</f>
        <v/>
      </c>
      <c r="I9" s="18">
        <f>-Assumptions!$B$23</f>
        <v/>
      </c>
      <c r="J9" s="18">
        <f>-Assumptions!$B$23</f>
        <v/>
      </c>
      <c r="K9" s="18">
        <f>-Assumptions!$B$23</f>
        <v/>
      </c>
      <c r="L9" s="18">
        <f>-Assumptions!$B$23</f>
        <v/>
      </c>
      <c r="M9" s="18">
        <f>-Assumptions!$B$23</f>
        <v/>
      </c>
      <c r="N9" s="18">
        <f>-Assumptions!$B$23</f>
        <v/>
      </c>
      <c r="O9" s="18">
        <f>-Assumptions!$B$23</f>
        <v/>
      </c>
      <c r="P9" s="18">
        <f>-Assumptions!$B$23</f>
        <v/>
      </c>
      <c r="Q9" s="18">
        <f>-Assumptions!$B$23</f>
        <v/>
      </c>
      <c r="R9" s="18">
        <f>-Assumptions!$B$23</f>
        <v/>
      </c>
      <c r="S9" s="18">
        <f>-Assumptions!$B$23</f>
        <v/>
      </c>
      <c r="T9" s="18">
        <f>-Assumptions!$B$23</f>
        <v/>
      </c>
      <c r="U9" s="19">
        <f>SUM(B9:T9)</f>
        <v/>
      </c>
    </row>
    <row r="10">
      <c r="A10" s="3" t="inlineStr">
        <is>
          <t>EBITDA</t>
        </is>
      </c>
      <c r="B10" s="19">
        <f>B7+B9</f>
        <v/>
      </c>
      <c r="C10" s="19">
        <f>C7+C9</f>
        <v/>
      </c>
      <c r="D10" s="19">
        <f>D7+D9</f>
        <v/>
      </c>
      <c r="E10" s="19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  <c r="P10" s="19">
        <f>P7+P9</f>
        <v/>
      </c>
      <c r="Q10" s="19">
        <f>Q7+Q9</f>
        <v/>
      </c>
      <c r="R10" s="19">
        <f>R7+R9</f>
        <v/>
      </c>
      <c r="S10" s="19">
        <f>S7+S9</f>
        <v/>
      </c>
      <c r="T10" s="19">
        <f>T7+T9</f>
        <v/>
      </c>
      <c r="U10" s="19">
        <f>SUM(B10:T10)</f>
        <v/>
      </c>
    </row>
    <row r="11">
      <c r="A11" s="4" t="inlineStr">
        <is>
          <t>EBITDA %</t>
        </is>
      </c>
      <c r="B11" s="12">
        <f>IF(B5=0,0,B10/B5)</f>
        <v/>
      </c>
      <c r="C11" s="12">
        <f>IF(C5=0,0,C10/C5)</f>
        <v/>
      </c>
      <c r="D11" s="12">
        <f>IF(D5=0,0,D10/D5)</f>
        <v/>
      </c>
      <c r="E11" s="12">
        <f>IF(E5=0,0,E10/E5)</f>
        <v/>
      </c>
      <c r="F11" s="12">
        <f>IF(F5=0,0,F10/F5)</f>
        <v/>
      </c>
      <c r="G11" s="12">
        <f>IF(G5=0,0,G10/G5)</f>
        <v/>
      </c>
      <c r="H11" s="12">
        <f>IF(H5=0,0,H10/H5)</f>
        <v/>
      </c>
      <c r="I11" s="12">
        <f>IF(I5=0,0,I10/I5)</f>
        <v/>
      </c>
      <c r="J11" s="12">
        <f>IF(J5=0,0,J10/J5)</f>
        <v/>
      </c>
      <c r="K11" s="12">
        <f>IF(K5=0,0,K10/K5)</f>
        <v/>
      </c>
      <c r="L11" s="12">
        <f>IF(L5=0,0,L10/L5)</f>
        <v/>
      </c>
      <c r="M11" s="12">
        <f>IF(M5=0,0,M10/M5)</f>
        <v/>
      </c>
      <c r="N11" s="12">
        <f>IF(N5=0,0,N10/N5)</f>
        <v/>
      </c>
      <c r="O11" s="12">
        <f>IF(O5=0,0,O10/O5)</f>
        <v/>
      </c>
      <c r="P11" s="12">
        <f>IF(P5=0,0,P10/P5)</f>
        <v/>
      </c>
      <c r="Q11" s="12">
        <f>IF(Q5=0,0,Q10/Q5)</f>
        <v/>
      </c>
      <c r="R11" s="12">
        <f>IF(R5=0,0,R10/R5)</f>
        <v/>
      </c>
      <c r="S11" s="12">
        <f>IF(S5=0,0,S10/S5)</f>
        <v/>
      </c>
      <c r="T11" s="12">
        <f>IF(T5=0,0,T10/T5)</f>
        <v/>
      </c>
      <c r="U11" s="20">
        <f>U10/U5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CASHFLOW (CASH BASIS) — Doña Fuego cans</t>
        </is>
      </c>
    </row>
    <row r="3">
      <c r="A3" s="3" t="inlineStr">
        <is>
          <t>Month</t>
        </is>
      </c>
      <c r="B3" s="14" t="n">
        <v>46174</v>
      </c>
      <c r="C3" s="14" t="n">
        <v>46204</v>
      </c>
      <c r="D3" s="14" t="n">
        <v>46235</v>
      </c>
      <c r="E3" s="14" t="n">
        <v>46266</v>
      </c>
      <c r="F3" s="14" t="n">
        <v>46296</v>
      </c>
      <c r="G3" s="14" t="n">
        <v>46327</v>
      </c>
      <c r="H3" s="14" t="n">
        <v>46357</v>
      </c>
      <c r="I3" s="14" t="n">
        <v>46388</v>
      </c>
      <c r="J3" s="14" t="n">
        <v>46419</v>
      </c>
      <c r="K3" s="14" t="n">
        <v>46447</v>
      </c>
      <c r="L3" s="14" t="n">
        <v>46478</v>
      </c>
      <c r="M3" s="14" t="n">
        <v>46508</v>
      </c>
      <c r="N3" s="14" t="n">
        <v>46539</v>
      </c>
      <c r="O3" s="14" t="n">
        <v>46569</v>
      </c>
      <c r="P3" s="14" t="n">
        <v>46600</v>
      </c>
      <c r="Q3" s="14" t="n">
        <v>46631</v>
      </c>
      <c r="R3" s="14" t="n">
        <v>46661</v>
      </c>
      <c r="S3" s="14" t="n">
        <v>46692</v>
      </c>
      <c r="T3" s="14" t="n">
        <v>46722</v>
      </c>
      <c r="U3" s="3" t="inlineStr">
        <is>
          <t>TOTAL</t>
        </is>
      </c>
    </row>
    <row r="4">
      <c r="A4" s="4" t="inlineStr">
        <is>
          <t>Receipts (revenue +30 days)</t>
        </is>
      </c>
      <c r="B4" s="18" t="n">
        <v>0</v>
      </c>
      <c r="C4" s="21">
        <f>'P&amp;L'!B5</f>
        <v/>
      </c>
      <c r="D4" s="21">
        <f>'P&amp;L'!C5</f>
        <v/>
      </c>
      <c r="E4" s="21">
        <f>'P&amp;L'!D5</f>
        <v/>
      </c>
      <c r="F4" s="21">
        <f>'P&amp;L'!E5</f>
        <v/>
      </c>
      <c r="G4" s="21">
        <f>'P&amp;L'!F5</f>
        <v/>
      </c>
      <c r="H4" s="21">
        <f>'P&amp;L'!G5</f>
        <v/>
      </c>
      <c r="I4" s="21">
        <f>'P&amp;L'!H5</f>
        <v/>
      </c>
      <c r="J4" s="21">
        <f>'P&amp;L'!I5</f>
        <v/>
      </c>
      <c r="K4" s="21">
        <f>'P&amp;L'!J5</f>
        <v/>
      </c>
      <c r="L4" s="21">
        <f>'P&amp;L'!K5</f>
        <v/>
      </c>
      <c r="M4" s="21">
        <f>'P&amp;L'!L5</f>
        <v/>
      </c>
      <c r="N4" s="21">
        <f>'P&amp;L'!M5</f>
        <v/>
      </c>
      <c r="O4" s="21">
        <f>'P&amp;L'!N5</f>
        <v/>
      </c>
      <c r="P4" s="21">
        <f>'P&amp;L'!O5</f>
        <v/>
      </c>
      <c r="Q4" s="21">
        <f>'P&amp;L'!P5</f>
        <v/>
      </c>
      <c r="R4" s="21">
        <f>'P&amp;L'!Q5</f>
        <v/>
      </c>
      <c r="S4" s="21">
        <f>'P&amp;L'!R5</f>
        <v/>
      </c>
      <c r="T4" s="21">
        <f>'P&amp;L'!S5</f>
        <v/>
      </c>
      <c r="U4" s="19">
        <f>SUM(B4:T4)</f>
        <v/>
      </c>
    </row>
    <row r="5">
      <c r="A5" s="4" t="inlineStr">
        <is>
          <t xml:space="preserve">  Bron Pro (design/brand)</t>
        </is>
      </c>
      <c r="B5" s="18">
        <f>-103500*Assumptions!$B$24</f>
        <v/>
      </c>
      <c r="D5" s="18">
        <f>-243800*Assumptions!$B$24</f>
        <v/>
      </c>
      <c r="U5" s="18">
        <f>SUM(B5:T5)</f>
        <v/>
      </c>
    </row>
    <row r="6">
      <c r="A6" s="4" t="inlineStr">
        <is>
          <t xml:space="preserve">  Sullwaldt printing</t>
        </is>
      </c>
      <c r="C6" s="18">
        <f>-91066*Assumptions!$B$24</f>
        <v/>
      </c>
      <c r="F6" s="18">
        <f>-72400*Assumptions!$B$24</f>
        <v/>
      </c>
      <c r="U6" s="18">
        <f>SUM(B6:T6)</f>
        <v/>
      </c>
    </row>
    <row r="7">
      <c r="A7" s="4" t="inlineStr">
        <is>
          <t xml:space="preserve">  Tiny Keg cans</t>
        </is>
      </c>
      <c r="C7" s="18">
        <f>-405950*Assumptions!$B$24</f>
        <v/>
      </c>
      <c r="E7" s="18">
        <f>-319000*Assumptions!$B$24</f>
        <v/>
      </c>
      <c r="U7" s="18">
        <f>SUM(B7:T7)</f>
        <v/>
      </c>
    </row>
    <row r="8">
      <c r="A8" s="4" t="inlineStr">
        <is>
          <t xml:space="preserve">  Chep pallets</t>
        </is>
      </c>
      <c r="B8" s="18">
        <f>-14375*Assumptions!$B$24</f>
        <v/>
      </c>
      <c r="U8" s="18">
        <f>SUM(B8:T8)</f>
        <v/>
      </c>
    </row>
    <row r="9">
      <c r="A9" s="4" t="inlineStr">
        <is>
          <t xml:space="preserve">  FAL distribution</t>
        </is>
      </c>
      <c r="C9" s="18">
        <f>-51750*Assumptions!$B$24</f>
        <v/>
      </c>
      <c r="F9" s="18">
        <f>-28000*Assumptions!$B$24</f>
        <v/>
      </c>
      <c r="U9" s="18">
        <f>SUM(B9:T9)</f>
        <v/>
      </c>
    </row>
    <row r="10">
      <c r="A10" s="4" t="inlineStr">
        <is>
          <t xml:space="preserve">  Tiny Keg production</t>
        </is>
      </c>
      <c r="D10" s="18">
        <f>-373350*Assumptions!$B$24</f>
        <v/>
      </c>
      <c r="E10" s="18">
        <f>-293250*Assumptions!$B$24</f>
        <v/>
      </c>
      <c r="U10" s="18">
        <f>SUM(B10:T10)</f>
        <v/>
      </c>
    </row>
    <row r="11">
      <c r="A11" s="4" t="inlineStr">
        <is>
          <t xml:space="preserve">  SARS excise (launch)</t>
        </is>
      </c>
      <c r="E11" s="18">
        <f>-630000*Assumptions!$B$24</f>
        <v/>
      </c>
      <c r="G11" s="18">
        <f>-495571*Assumptions!$B$24</f>
        <v/>
      </c>
      <c r="U11" s="18">
        <f>SUM(B11:T11)</f>
        <v/>
      </c>
    </row>
    <row r="12">
      <c r="A12" s="4" t="inlineStr">
        <is>
          <t xml:space="preserve">  Legal &amp; admin (2026)</t>
        </is>
      </c>
      <c r="C12" s="18" t="n">
        <v>-57500</v>
      </c>
      <c r="U12" s="18">
        <f>SUM(B12:T12)</f>
        <v/>
      </c>
    </row>
    <row r="13">
      <c r="A13" s="4" t="inlineStr">
        <is>
          <t xml:space="preserve">  2027 recurring COGS + opex</t>
        </is>
      </c>
      <c r="I13" s="18">
        <f>-('P&amp;L'!I5*Assumptions!$B$21+Assumptions!$B$23)</f>
        <v/>
      </c>
      <c r="J13" s="18">
        <f>-('P&amp;L'!J5*Assumptions!$B$21+Assumptions!$B$23)</f>
        <v/>
      </c>
      <c r="K13" s="18">
        <f>-('P&amp;L'!K5*Assumptions!$B$21+Assumptions!$B$23)</f>
        <v/>
      </c>
      <c r="L13" s="18">
        <f>-('P&amp;L'!L5*Assumptions!$B$21+Assumptions!$B$23)</f>
        <v/>
      </c>
      <c r="M13" s="18">
        <f>-('P&amp;L'!M5*Assumptions!$B$21+Assumptions!$B$23)</f>
        <v/>
      </c>
      <c r="N13" s="18">
        <f>-('P&amp;L'!N5*Assumptions!$B$21+Assumptions!$B$23)</f>
        <v/>
      </c>
      <c r="O13" s="18">
        <f>-('P&amp;L'!O5*Assumptions!$B$21+Assumptions!$B$23)</f>
        <v/>
      </c>
      <c r="P13" s="18">
        <f>-('P&amp;L'!P5*Assumptions!$B$21+Assumptions!$B$23)</f>
        <v/>
      </c>
      <c r="Q13" s="18">
        <f>-('P&amp;L'!Q5*Assumptions!$B$21+Assumptions!$B$23)</f>
        <v/>
      </c>
      <c r="R13" s="18">
        <f>-('P&amp;L'!R5*Assumptions!$B$21+Assumptions!$B$23)</f>
        <v/>
      </c>
      <c r="S13" s="18">
        <f>-('P&amp;L'!S5*Assumptions!$B$21+Assumptions!$B$23)</f>
        <v/>
      </c>
      <c r="T13" s="18">
        <f>-('P&amp;L'!T5*Assumptions!$B$21+Assumptions!$B$23)</f>
        <v/>
      </c>
      <c r="U13" s="18">
        <f>SUM(B13:T13)</f>
        <v/>
      </c>
    </row>
    <row r="14">
      <c r="A14" s="3" t="inlineStr">
        <is>
          <t>Net monthly cashflow</t>
        </is>
      </c>
      <c r="B14" s="19">
        <f>SUM(B4:B13)</f>
        <v/>
      </c>
      <c r="C14" s="19">
        <f>SUM(C4:C13)</f>
        <v/>
      </c>
      <c r="D14" s="19">
        <f>SUM(D4:D13)</f>
        <v/>
      </c>
      <c r="E14" s="19">
        <f>SUM(E4:E13)</f>
        <v/>
      </c>
      <c r="F14" s="19">
        <f>SUM(F4:F13)</f>
        <v/>
      </c>
      <c r="G14" s="19">
        <f>SUM(G4:G13)</f>
        <v/>
      </c>
      <c r="H14" s="19">
        <f>SUM(H4:H13)</f>
        <v/>
      </c>
      <c r="I14" s="19">
        <f>SUM(I4:I13)</f>
        <v/>
      </c>
      <c r="J14" s="19">
        <f>SUM(J4:J13)</f>
        <v/>
      </c>
      <c r="K14" s="19">
        <f>SUM(K4:K13)</f>
        <v/>
      </c>
      <c r="L14" s="19">
        <f>SUM(L4:L13)</f>
        <v/>
      </c>
      <c r="M14" s="19">
        <f>SUM(M4:M13)</f>
        <v/>
      </c>
      <c r="N14" s="19">
        <f>SUM(N4:N13)</f>
        <v/>
      </c>
      <c r="O14" s="19">
        <f>SUM(O4:O13)</f>
        <v/>
      </c>
      <c r="P14" s="19">
        <f>SUM(P4:P13)</f>
        <v/>
      </c>
      <c r="Q14" s="19">
        <f>SUM(Q4:Q13)</f>
        <v/>
      </c>
      <c r="R14" s="19">
        <f>SUM(R4:R13)</f>
        <v/>
      </c>
      <c r="S14" s="19">
        <f>SUM(S4:S13)</f>
        <v/>
      </c>
      <c r="T14" s="19">
        <f>SUM(T4:T13)</f>
        <v/>
      </c>
      <c r="U14" s="19">
        <f>SUM(B14:T14)</f>
        <v/>
      </c>
    </row>
    <row r="15">
      <c r="A15" s="3" t="inlineStr">
        <is>
          <t>Cumulative cash position</t>
        </is>
      </c>
      <c r="B15" s="19">
        <f>B14</f>
        <v/>
      </c>
      <c r="C15" s="19">
        <f>B15+C14</f>
        <v/>
      </c>
      <c r="D15" s="19">
        <f>C15+D14</f>
        <v/>
      </c>
      <c r="E15" s="19">
        <f>D15+E14</f>
        <v/>
      </c>
      <c r="F15" s="19">
        <f>E15+F14</f>
        <v/>
      </c>
      <c r="G15" s="19">
        <f>F15+G14</f>
        <v/>
      </c>
      <c r="H15" s="19">
        <f>G15+H14</f>
        <v/>
      </c>
      <c r="I15" s="19">
        <f>H15+I14</f>
        <v/>
      </c>
      <c r="J15" s="19">
        <f>I15+J14</f>
        <v/>
      </c>
      <c r="K15" s="19">
        <f>J15+K14</f>
        <v/>
      </c>
      <c r="L15" s="19">
        <f>K15+L14</f>
        <v/>
      </c>
      <c r="M15" s="19">
        <f>L15+M14</f>
        <v/>
      </c>
      <c r="N15" s="19">
        <f>M15+N14</f>
        <v/>
      </c>
      <c r="O15" s="19">
        <f>N15+O14</f>
        <v/>
      </c>
      <c r="P15" s="19">
        <f>O15+P14</f>
        <v/>
      </c>
      <c r="Q15" s="19">
        <f>P15+Q14</f>
        <v/>
      </c>
      <c r="R15" s="19">
        <f>Q15+R14</f>
        <v/>
      </c>
      <c r="S15" s="19">
        <f>R15+S14</f>
        <v/>
      </c>
      <c r="T15" s="19">
        <f>S15+T14</f>
        <v/>
      </c>
    </row>
    <row r="17">
      <c r="A17" s="2" t="inlineStr">
        <is>
          <t>Note: 2026 launch costs are the project model's quoted cash costs, scaled by the store factor (Assumptions!B24); legal retainer unscaled.</t>
        </is>
      </c>
    </row>
    <row r="18">
      <c r="A18" s="2" t="inlineStr">
        <is>
          <t>2027 steady-state COGS assumed paid in month of delivery; tequila purchased under the distillery supply agreement.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62" customWidth="1" min="5" max="5"/>
  </cols>
  <sheetData>
    <row r="1">
      <c r="A1" s="1" t="inlineStr">
        <is>
          <t>VALUATION — Doña Fuego brand entity (cans only; bottles not yet modelled)</t>
        </is>
      </c>
    </row>
    <row r="3">
      <c r="A3" s="3" t="inlineStr">
        <is>
          <t>Key metrics (linked to P&amp;L)</t>
        </is>
      </c>
    </row>
    <row r="4">
      <c r="A4" s="4" t="inlineStr">
        <is>
          <t>2026 (Jun–Dec) revenue</t>
        </is>
      </c>
      <c r="B4" s="21">
        <f>SUM('P&amp;L'!B5:H5)</f>
        <v/>
      </c>
    </row>
    <row r="5">
      <c r="A5" s="4" t="inlineStr">
        <is>
          <t>2026 (Jun–Dec) EBITDA</t>
        </is>
      </c>
      <c r="B5" s="21">
        <f>SUM('P&amp;L'!B10:H10)</f>
        <v/>
      </c>
    </row>
    <row r="6">
      <c r="A6" s="4" t="inlineStr">
        <is>
          <t>2027 revenue</t>
        </is>
      </c>
      <c r="B6" s="21">
        <f>SUM('P&amp;L'!I5:T5)</f>
        <v/>
      </c>
    </row>
    <row r="7">
      <c r="A7" s="4" t="inlineStr">
        <is>
          <t>2027 EBITDA</t>
        </is>
      </c>
      <c r="B7" s="21">
        <f>SUM('P&amp;L'!I10:T10)</f>
        <v/>
      </c>
    </row>
    <row r="9">
      <c r="A9" s="3" t="inlineStr">
        <is>
          <t>Method 1: EV/EBITDA on 2027 EBITDA</t>
        </is>
      </c>
      <c r="B9" s="3" t="inlineStr">
        <is>
          <t>Low</t>
        </is>
      </c>
      <c r="C9" s="3" t="inlineStr">
        <is>
          <t>Base</t>
        </is>
      </c>
      <c r="D9" s="3" t="inlineStr">
        <is>
          <t>High</t>
        </is>
      </c>
    </row>
    <row r="10">
      <c r="A10" s="4" t="inlineStr">
        <is>
          <t>Multiple</t>
        </is>
      </c>
      <c r="B10" s="22" t="n">
        <v>6</v>
      </c>
      <c r="C10" s="22" t="n">
        <v>9</v>
      </c>
      <c r="D10" s="22" t="n">
        <v>12</v>
      </c>
    </row>
    <row r="11">
      <c r="A11" s="4" t="inlineStr">
        <is>
          <t>Enterprise value</t>
        </is>
      </c>
      <c r="B11" s="18">
        <f>$B$7*B10</f>
        <v/>
      </c>
      <c r="C11" s="18">
        <f>$B$7*C10</f>
        <v/>
      </c>
      <c r="D11" s="18">
        <f>$B$7*D10</f>
        <v/>
      </c>
    </row>
    <row r="13">
      <c r="A13" s="3" t="inlineStr">
        <is>
          <t>Method 2: EV/Revenue on 2027 revenue</t>
        </is>
      </c>
    </row>
    <row r="14">
      <c r="A14" s="4" t="inlineStr">
        <is>
          <t>Multiple</t>
        </is>
      </c>
      <c r="B14" s="22" t="n">
        <v>1</v>
      </c>
      <c r="C14" s="22" t="n">
        <v>1.5</v>
      </c>
      <c r="D14" s="22" t="n">
        <v>2.5</v>
      </c>
    </row>
    <row r="15">
      <c r="A15" s="4" t="inlineStr">
        <is>
          <t>Enterprise value</t>
        </is>
      </c>
      <c r="B15" s="18">
        <f>$B$6*B14</f>
        <v/>
      </c>
      <c r="C15" s="18">
        <f>$B$6*C14</f>
        <v/>
      </c>
      <c r="D15" s="18">
        <f>$B$6*D14</f>
        <v/>
      </c>
    </row>
    <row r="17">
      <c r="A17" s="3" t="inlineStr">
        <is>
          <t>Method 3: simplified DCF (EBITDA as cash proxy)</t>
        </is>
      </c>
    </row>
    <row r="18">
      <c r="A18" s="4" t="inlineStr">
        <is>
          <t>WACC</t>
        </is>
      </c>
      <c r="B18" s="11" t="n">
        <v>0.22</v>
      </c>
      <c r="C18" s="11" t="n">
        <v>0.18</v>
      </c>
      <c r="D18" s="11" t="n">
        <v>0.15</v>
      </c>
    </row>
    <row r="19">
      <c r="A19" s="4" t="inlineStr">
        <is>
          <t>Exit multiple (2027 EBITDA)</t>
        </is>
      </c>
      <c r="B19" s="22" t="n">
        <v>6</v>
      </c>
      <c r="C19" s="22" t="n">
        <v>8</v>
      </c>
      <c r="D19" s="22" t="n">
        <v>10</v>
      </c>
    </row>
    <row r="20">
      <c r="A20" s="4" t="inlineStr">
        <is>
          <t>Enterprise value (DCF)</t>
        </is>
      </c>
      <c r="B20" s="18">
        <f>$B$5/(1+B18)^0.25+$B$7/(1+B18)+$B$7*B19/(1+B18)^1.5</f>
        <v/>
      </c>
      <c r="C20" s="18">
        <f>$B$5/(1+C18)^0.25+$B$7/(1+C18)+$B$7*C19/(1+C18)^1.5</f>
        <v/>
      </c>
      <c r="D20" s="18">
        <f>$B$5/(1+D18)^0.25+$B$7/(1+D18)+$B$7*D19/(1+D18)^1.5</f>
        <v/>
      </c>
    </row>
    <row r="22">
      <c r="A22" s="3" t="inlineStr">
        <is>
          <t>Blended enterprise value (avg of methods)</t>
        </is>
      </c>
      <c r="B22" s="19">
        <f>AVERAGE(B11,B15,B20)</f>
        <v/>
      </c>
      <c r="C22" s="19">
        <f>AVERAGE(C11,C15,C20)</f>
        <v/>
      </c>
      <c r="D22" s="19">
        <f>AVERAGE(D11,D15,D20)</f>
        <v/>
      </c>
    </row>
    <row r="24">
      <c r="A24" s="3" t="inlineStr">
        <is>
          <t>Valuation guide for the raise</t>
        </is>
      </c>
      <c r="B24" s="23" t="n">
        <v>15000000</v>
      </c>
      <c r="E24" s="2" t="inlineStr">
        <is>
          <t>Guide sits between the blended Low and Base; bottles, 360-store actuals vs conservative reorders, export and post-exclusivity retail are upside outside this model.</t>
        </is>
      </c>
    </row>
    <row r="26">
      <c r="A26" s="2" t="inlineStr">
        <is>
          <t>Same three methods and multiples as the tequila project model, applied to brand-only economics.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>
      <c r="A1" s="1" t="inlineStr">
        <is>
          <t>SUMMARY — Doña Fuego Brand Pro Forma</t>
        </is>
      </c>
    </row>
    <row r="3">
      <c r="A3" s="3" t="inlineStr">
        <is>
          <t>Checkers listing</t>
        </is>
      </c>
      <c r="B3" s="24">
        <f>Assumptions!B4&amp;" stores + Sixty60, Aug 2026"</f>
        <v/>
      </c>
    </row>
    <row r="4">
      <c r="A4" s="3" t="inlineStr">
        <is>
          <t>Opening order (initial fill revenue)</t>
        </is>
      </c>
      <c r="B4" s="21">
        <f>'P&amp;L'!D5</f>
        <v/>
      </c>
    </row>
    <row r="5">
      <c r="A5" s="3" t="inlineStr">
        <is>
          <t>Total can revenue (Jun 26 – Dec 27)</t>
        </is>
      </c>
      <c r="B5" s="21">
        <f>'P&amp;L'!U5</f>
        <v/>
      </c>
    </row>
    <row r="6">
      <c r="A6" s="3" t="inlineStr">
        <is>
          <t>Total EBITDA (Jun 26 – Dec 27)</t>
        </is>
      </c>
      <c r="B6" s="21">
        <f>'P&amp;L'!U10</f>
        <v/>
      </c>
    </row>
    <row r="7">
      <c r="A7" s="3" t="inlineStr">
        <is>
          <t>EBITDA margin</t>
        </is>
      </c>
      <c r="B7" s="25">
        <f>'P&amp;L'!U11</f>
        <v/>
      </c>
    </row>
    <row r="8">
      <c r="A8" s="3" t="inlineStr">
        <is>
          <t>Peak funding need</t>
        </is>
      </c>
      <c r="B8" s="21">
        <f>MIN(Cashflow!B15:T15)</f>
        <v/>
      </c>
    </row>
    <row r="9">
      <c r="A9" s="3" t="inlineStr">
        <is>
          <t>Ending cash (Dec 27)</t>
        </is>
      </c>
      <c r="B9" s="21">
        <f>Cashflow!T15</f>
        <v/>
      </c>
    </row>
    <row r="10">
      <c r="A10" s="3" t="inlineStr">
        <is>
          <t>Blended valuation — low</t>
        </is>
      </c>
      <c r="B10" s="21">
        <f>Valuation!B22</f>
        <v/>
      </c>
    </row>
    <row r="11">
      <c r="A11" s="3" t="inlineStr">
        <is>
          <t>Blended valuation — base</t>
        </is>
      </c>
      <c r="B11" s="21">
        <f>Valuation!C22</f>
        <v/>
      </c>
    </row>
    <row r="12">
      <c r="A12" s="3" t="inlineStr">
        <is>
          <t>Blended valuation — high</t>
        </is>
      </c>
      <c r="B12" s="21">
        <f>Valuation!D22</f>
        <v/>
      </c>
    </row>
    <row r="13">
      <c r="A13" s="3" t="inlineStr">
        <is>
          <t>Valuation guide</t>
        </is>
      </c>
      <c r="B13" s="21">
        <f>Valuation!B24</f>
        <v/>
      </c>
    </row>
    <row r="15">
      <c r="A15" s="2" t="inlineStr">
        <is>
          <t>Not modelled (upside): Fuego Tequila bottled range (sales data pending), post-exclusivity retailers, export.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2026-07-23T10:57:33Z</dcterms:created>
  <dcterms:modified xmlns:dcterms="http://purl.org/dc/terms/" xmlns:xsi="http://www.w3.org/2001/XMLSchema-instance" xsi:type="dcterms:W3CDTF">2026-07-23T10:57:33Z</dcterms:modified>
</cp:coreProperties>
</file>